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mc:AlternateContent xmlns:mc="http://schemas.openxmlformats.org/markup-compatibility/2006">
    <mc:Choice Requires="x15">
      <x15ac:absPath xmlns:x15ac="http://schemas.microsoft.com/office/spreadsheetml/2010/11/ac" url="M:\Education\1EOCs\1FSA Redesign\ERM\ERM Fall 2023 Spring 2024\"/>
    </mc:Choice>
  </mc:AlternateContent>
  <xr:revisionPtr revIDLastSave="0" documentId="8_{B95374DC-9277-4F50-AC9F-6CFAAE7BA0F6}" xr6:coauthVersionLast="47" xr6:coauthVersionMax="47" xr10:uidLastSave="{00000000-0000-0000-0000-000000000000}"/>
  <bookViews>
    <workbookView xWindow="0" yWindow="0" windowWidth="25410" windowHeight="15675" tabRatio="870" xr2:uid="{A664C23E-0DAE-4AB9-BE9D-881580A819D6}"/>
  </bookViews>
  <sheets>
    <sheet name="Disclaimer" sheetId="13" r:id="rId1"/>
    <sheet name="0. Contents" sheetId="7" r:id="rId2"/>
    <sheet name="1. General Guidance" sheetId="8" r:id="rId3"/>
    <sheet name="2a.i Inputs - US Factors" sheetId="9" r:id="rId4"/>
    <sheet name="2a.ii Inputs - Canada Factors" sheetId="14" r:id="rId5"/>
    <sheet name="2a.iii Inputs - Europe Factors" sheetId="15" r:id="rId6"/>
    <sheet name="2a.iv Inputs - Bermuda Factors" sheetId="16" r:id="rId7"/>
    <sheet name="2b. Inputs - Assets" sheetId="6" r:id="rId8"/>
    <sheet name="2c. Inputs - Liabilities" sheetId="10" r:id="rId9"/>
    <sheet name="2d. Mortality" sheetId="11" r:id="rId10"/>
    <sheet name="3a. US" sheetId="2" r:id="rId11"/>
    <sheet name="3b. Canada" sheetId="4" r:id="rId12"/>
    <sheet name="3c. Europe" sheetId="3" r:id="rId13"/>
    <sheet name="3d. Bermuda" sheetId="5" r:id="rId14"/>
    <sheet name="4. Results Summary" sheetId="1" r:id="rId15"/>
  </sheets>
  <functionGroups builtInGroupCount="19"/>
  <definedNames>
    <definedName name="_xlnm._FilterDatabase" localSheetId="12" hidden="1">'3c. Europe'!$B$18:$B$19</definedName>
    <definedName name="_Int_tPzXjVAd" localSheetId="0">Disclaimer!$B$46</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mortindex">'2d. Mortality'!$C$84</definedName>
    <definedName name="mortindex1">'2d. Mortality'!$C$84</definedName>
    <definedName name="rtrage">'3c. Europe'!$G$6</definedName>
    <definedName name="sexindex1">'2d. Mortality'!$C$85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20" i="10" l="1"/>
  <c r="D14" i="14"/>
  <c r="X20" i="4"/>
  <c r="N20" i="4"/>
  <c r="B20" i="4"/>
  <c r="C12" i="14"/>
  <c r="B23" i="4"/>
  <c r="B18" i="4"/>
  <c r="H20" i="4"/>
  <c r="I20" i="4"/>
  <c r="H23" i="4"/>
  <c r="I23" i="4"/>
  <c r="I18" i="4"/>
  <c r="J20" i="4"/>
  <c r="J23" i="4"/>
  <c r="J18" i="4"/>
  <c r="C11" i="14"/>
  <c r="X19" i="4"/>
  <c r="N19" i="4"/>
  <c r="B19" i="4"/>
  <c r="N8" i="4"/>
  <c r="H19" i="4"/>
  <c r="H18" i="4"/>
  <c r="G18" i="4"/>
  <c r="F18" i="4"/>
  <c r="E18" i="4"/>
  <c r="D18" i="4"/>
  <c r="C18" i="4"/>
  <c r="O18" i="4"/>
  <c r="T19" i="4"/>
  <c r="T20" i="4"/>
  <c r="C14" i="14"/>
  <c r="N23" i="4"/>
  <c r="T23" i="4"/>
  <c r="T18" i="4"/>
  <c r="S18" i="4"/>
  <c r="R18" i="4"/>
  <c r="Q18" i="4"/>
  <c r="P18" i="4"/>
  <c r="N18" i="4"/>
  <c r="AD19" i="4"/>
  <c r="AD20" i="4"/>
  <c r="X23" i="4"/>
  <c r="AD23" i="4"/>
  <c r="AD18" i="4"/>
  <c r="AC18" i="4"/>
  <c r="AB18" i="4"/>
  <c r="AA18" i="4"/>
  <c r="Z18" i="4"/>
  <c r="Y18" i="4"/>
  <c r="X18" i="4"/>
  <c r="X25" i="4"/>
  <c r="X24" i="4"/>
  <c r="AD25" i="4"/>
  <c r="AD24" i="4"/>
  <c r="N25" i="4"/>
  <c r="N24" i="4"/>
  <c r="T25" i="4"/>
  <c r="T24" i="4"/>
  <c r="H25" i="4"/>
  <c r="H24" i="4"/>
  <c r="B25" i="4"/>
  <c r="B24" i="4"/>
  <c r="D15" i="14"/>
  <c r="C15" i="14"/>
  <c r="AE19" i="4"/>
  <c r="AF19" i="4"/>
  <c r="AE20" i="4"/>
  <c r="AF20" i="4"/>
  <c r="AD21" i="4"/>
  <c r="AE21" i="4"/>
  <c r="AF21" i="4"/>
  <c r="X22" i="4"/>
  <c r="AD22" i="4"/>
  <c r="AE22" i="4"/>
  <c r="AF22" i="4"/>
  <c r="AE23" i="4"/>
  <c r="AF23" i="4"/>
  <c r="AF18" i="4"/>
  <c r="U19" i="4"/>
  <c r="V19" i="4"/>
  <c r="U20" i="4"/>
  <c r="V20" i="4"/>
  <c r="T21" i="4"/>
  <c r="U21" i="4"/>
  <c r="V21" i="4"/>
  <c r="C13" i="14"/>
  <c r="N22" i="4"/>
  <c r="T22" i="4"/>
  <c r="U22" i="4"/>
  <c r="V22" i="4"/>
  <c r="U23" i="4"/>
  <c r="V23" i="4"/>
  <c r="V18" i="4"/>
  <c r="N11" i="4"/>
  <c r="N12" i="4"/>
  <c r="AC9" i="4"/>
  <c r="AC30" i="4"/>
  <c r="AC27" i="4"/>
  <c r="AC40" i="4"/>
  <c r="AC41" i="4"/>
  <c r="AB9" i="4"/>
  <c r="AB30" i="4"/>
  <c r="AB27" i="4"/>
  <c r="AB40" i="4"/>
  <c r="AB41" i="4"/>
  <c r="AA9" i="4"/>
  <c r="AA30" i="4"/>
  <c r="AA27" i="4"/>
  <c r="AA40" i="4"/>
  <c r="AA41" i="4"/>
  <c r="Z9" i="4"/>
  <c r="Z30" i="4"/>
  <c r="Z27" i="4"/>
  <c r="Z40" i="4"/>
  <c r="Z41" i="4"/>
  <c r="Y9" i="4"/>
  <c r="Y30" i="4"/>
  <c r="Y27" i="4"/>
  <c r="Y40" i="4"/>
  <c r="Y41" i="4"/>
  <c r="S9" i="4"/>
  <c r="S30" i="4"/>
  <c r="S27" i="4"/>
  <c r="S40" i="4"/>
  <c r="S41" i="4"/>
  <c r="R9" i="4"/>
  <c r="R30" i="4"/>
  <c r="R27" i="4"/>
  <c r="R40" i="4"/>
  <c r="R41" i="4"/>
  <c r="Q9" i="4"/>
  <c r="Q30" i="4"/>
  <c r="Q27" i="4"/>
  <c r="Q40" i="4"/>
  <c r="Q41" i="4"/>
  <c r="P9" i="4"/>
  <c r="P30" i="4"/>
  <c r="P27" i="4"/>
  <c r="P40" i="4"/>
  <c r="P41" i="4"/>
  <c r="O9" i="4"/>
  <c r="O30" i="4"/>
  <c r="O27" i="4"/>
  <c r="O40" i="4"/>
  <c r="O41" i="4"/>
  <c r="X8" i="4"/>
  <c r="AD8" i="4"/>
  <c r="X11" i="4"/>
  <c r="X12" i="4"/>
  <c r="AC32" i="4"/>
  <c r="AB32" i="4"/>
  <c r="AA32" i="4"/>
  <c r="Z32" i="4"/>
  <c r="Y32" i="4"/>
  <c r="T8" i="4"/>
  <c r="S32" i="4"/>
  <c r="R32" i="4"/>
  <c r="Q32" i="4"/>
  <c r="P32" i="4"/>
  <c r="O32" i="4"/>
  <c r="AE18" i="4"/>
  <c r="U18" i="4"/>
  <c r="B22" i="4"/>
  <c r="H22" i="4"/>
  <c r="I22" i="4"/>
  <c r="H21" i="4"/>
  <c r="I21" i="4"/>
  <c r="B83" i="14"/>
  <c r="B82" i="14"/>
  <c r="B81" i="14"/>
  <c r="B80" i="14"/>
  <c r="B79" i="14"/>
  <c r="X40" i="4"/>
  <c r="F37" i="6"/>
  <c r="N40" i="4"/>
  <c r="J10" i="2"/>
  <c r="J8" i="2"/>
  <c r="F8" i="2"/>
  <c r="F10" i="2"/>
  <c r="B10" i="2"/>
  <c r="D31" i="10"/>
  <c r="C31" i="10"/>
  <c r="D30" i="10"/>
  <c r="C30" i="10"/>
  <c r="D29" i="10"/>
  <c r="C29" i="10"/>
  <c r="E31" i="10"/>
  <c r="E30" i="10"/>
  <c r="C41" i="16"/>
  <c r="C40" i="16"/>
  <c r="C39" i="16"/>
  <c r="C38" i="16"/>
  <c r="C37" i="16"/>
  <c r="D18" i="14"/>
  <c r="D17" i="14"/>
  <c r="C17" i="14"/>
  <c r="C21" i="6"/>
  <c r="C20" i="6"/>
  <c r="C19" i="6"/>
  <c r="C18" i="6"/>
  <c r="C17" i="6"/>
  <c r="C16" i="6"/>
  <c r="G31" i="10"/>
  <c r="G30" i="10"/>
  <c r="G29" i="10"/>
  <c r="F24" i="3"/>
  <c r="F23" i="3"/>
  <c r="F22" i="3"/>
  <c r="F21" i="3"/>
  <c r="F20" i="3"/>
  <c r="D24" i="3"/>
  <c r="D23" i="3"/>
  <c r="D22" i="3"/>
  <c r="D21" i="3"/>
  <c r="D20" i="3"/>
  <c r="B24" i="3"/>
  <c r="B23" i="3"/>
  <c r="B22" i="3"/>
  <c r="B21" i="3"/>
  <c r="B20" i="3"/>
  <c r="F14" i="3"/>
  <c r="F13" i="3"/>
  <c r="F12" i="3"/>
  <c r="D14" i="3"/>
  <c r="D13" i="3"/>
  <c r="D12" i="3"/>
  <c r="B14" i="3"/>
  <c r="B13" i="3"/>
  <c r="B12" i="3"/>
  <c r="B9" i="5"/>
  <c r="D9" i="5"/>
  <c r="F9" i="5"/>
  <c r="B10" i="5"/>
  <c r="D10" i="5"/>
  <c r="F10" i="5"/>
  <c r="B11" i="5"/>
  <c r="D11" i="5"/>
  <c r="F11" i="5"/>
  <c r="B12" i="5"/>
  <c r="D12" i="5"/>
  <c r="F12" i="5"/>
  <c r="B18" i="5"/>
  <c r="D18" i="5"/>
  <c r="F18" i="5"/>
  <c r="B25" i="5"/>
  <c r="D25" i="5"/>
  <c r="F25" i="5"/>
  <c r="B26" i="5"/>
  <c r="D26" i="5"/>
  <c r="F26" i="5"/>
  <c r="B28" i="5"/>
  <c r="B16" i="5"/>
  <c r="D28" i="5"/>
  <c r="D16" i="5"/>
  <c r="F28" i="5"/>
  <c r="B32" i="5"/>
  <c r="D32" i="5"/>
  <c r="F32" i="5"/>
  <c r="B33" i="5"/>
  <c r="D33" i="5"/>
  <c r="F33" i="5"/>
  <c r="B34" i="5"/>
  <c r="D34" i="5"/>
  <c r="F34" i="5"/>
  <c r="B36" i="5"/>
  <c r="D36" i="5"/>
  <c r="F36" i="5"/>
  <c r="F16" i="5"/>
  <c r="F15" i="3"/>
  <c r="F41" i="15"/>
  <c r="B15" i="3"/>
  <c r="D41" i="15"/>
  <c r="B104" i="4"/>
  <c r="N104" i="4"/>
  <c r="B103" i="4"/>
  <c r="N103" i="4"/>
  <c r="X97" i="4"/>
  <c r="B97" i="4"/>
  <c r="A97" i="4"/>
  <c r="X96" i="4"/>
  <c r="B96" i="4"/>
  <c r="A96" i="4"/>
  <c r="X95" i="4"/>
  <c r="B95" i="4"/>
  <c r="A95" i="4"/>
  <c r="X94" i="4"/>
  <c r="B94" i="4"/>
  <c r="A94" i="4"/>
  <c r="X93" i="4"/>
  <c r="B93" i="4"/>
  <c r="A93" i="4"/>
  <c r="X92" i="4"/>
  <c r="B92" i="4"/>
  <c r="A92" i="4"/>
  <c r="N82" i="4"/>
  <c r="B82" i="4"/>
  <c r="B50" i="4"/>
  <c r="AD12" i="4"/>
  <c r="B12" i="4"/>
  <c r="H12" i="4"/>
  <c r="B8" i="4"/>
  <c r="X102" i="4"/>
  <c r="X79" i="4"/>
  <c r="N79" i="4"/>
  <c r="B79" i="4"/>
  <c r="X71" i="4"/>
  <c r="N71" i="4"/>
  <c r="B71" i="4"/>
  <c r="G40" i="4"/>
  <c r="F40" i="4"/>
  <c r="E40" i="4"/>
  <c r="D40" i="4"/>
  <c r="C40" i="4"/>
  <c r="B40" i="4"/>
  <c r="AD39" i="4"/>
  <c r="T39" i="4"/>
  <c r="AD38" i="4"/>
  <c r="T38" i="4"/>
  <c r="T40" i="4"/>
  <c r="H38" i="4"/>
  <c r="AD29" i="4"/>
  <c r="T29" i="4"/>
  <c r="H29" i="4"/>
  <c r="AD26" i="4"/>
  <c r="T26" i="4"/>
  <c r="H26" i="4"/>
  <c r="J21" i="4"/>
  <c r="AD17" i="4"/>
  <c r="T17" i="4"/>
  <c r="H17" i="4"/>
  <c r="AD16" i="4"/>
  <c r="T16" i="4"/>
  <c r="H16" i="4"/>
  <c r="AD15" i="4"/>
  <c r="T15" i="4"/>
  <c r="H15" i="4"/>
  <c r="AD14" i="4"/>
  <c r="T14" i="4"/>
  <c r="H14" i="4"/>
  <c r="AD13" i="4"/>
  <c r="T13" i="4"/>
  <c r="H13" i="4"/>
  <c r="G9" i="4"/>
  <c r="F9" i="4"/>
  <c r="E9" i="4"/>
  <c r="E32" i="4"/>
  <c r="D9" i="4"/>
  <c r="C9" i="4"/>
  <c r="C32" i="4"/>
  <c r="F30" i="4"/>
  <c r="F27" i="4"/>
  <c r="F32" i="4"/>
  <c r="G30" i="4"/>
  <c r="G27" i="4"/>
  <c r="G32" i="4"/>
  <c r="D30" i="4"/>
  <c r="D27" i="4"/>
  <c r="D31" i="4"/>
  <c r="D32" i="4"/>
  <c r="AB31" i="4"/>
  <c r="O31" i="4"/>
  <c r="J22" i="4"/>
  <c r="E30" i="4"/>
  <c r="E27" i="4"/>
  <c r="E31" i="4"/>
  <c r="Y31" i="4"/>
  <c r="R31" i="4"/>
  <c r="S31" i="4"/>
  <c r="P31" i="4"/>
  <c r="AC31" i="4"/>
  <c r="C30" i="4"/>
  <c r="C27" i="4"/>
  <c r="AD40" i="4"/>
  <c r="X104" i="4"/>
  <c r="B98" i="4"/>
  <c r="X98" i="4"/>
  <c r="AA31" i="4"/>
  <c r="Q31" i="4"/>
  <c r="Z31" i="4"/>
  <c r="H8" i="4"/>
  <c r="X103" i="4"/>
  <c r="C31" i="4"/>
  <c r="C41" i="4"/>
  <c r="G31" i="4"/>
  <c r="G41" i="4"/>
  <c r="F31" i="4"/>
  <c r="F41" i="4"/>
  <c r="E41" i="4"/>
  <c r="D41" i="4"/>
  <c r="X82" i="4"/>
  <c r="N50" i="4"/>
  <c r="X50" i="4"/>
  <c r="B33" i="6"/>
  <c r="J50" i="2"/>
  <c r="J49" i="2"/>
  <c r="J27" i="2"/>
  <c r="J26" i="2"/>
  <c r="K10" i="2"/>
  <c r="L10" i="2"/>
  <c r="J9" i="2"/>
  <c r="K9" i="2"/>
  <c r="F48" i="2"/>
  <c r="F29" i="2"/>
  <c r="F28" i="2"/>
  <c r="F27" i="2"/>
  <c r="F26" i="2"/>
  <c r="E25" i="2"/>
  <c r="B9" i="2"/>
  <c r="I32" i="10"/>
  <c r="J48" i="2"/>
  <c r="J28" i="2"/>
  <c r="J29" i="2"/>
  <c r="K13" i="2"/>
  <c r="L13" i="2"/>
  <c r="J14" i="2"/>
  <c r="K14" i="2"/>
  <c r="K18" i="2"/>
  <c r="L18" i="2"/>
  <c r="F50" i="2"/>
  <c r="F49" i="2"/>
  <c r="G8" i="2"/>
  <c r="H8" i="2"/>
  <c r="G13" i="2"/>
  <c r="H13" i="2"/>
  <c r="F14" i="2"/>
  <c r="G14" i="2"/>
  <c r="H14" i="2"/>
  <c r="G18" i="2"/>
  <c r="H18" i="2"/>
  <c r="J19" i="6"/>
  <c r="J20" i="6"/>
  <c r="J21" i="6"/>
  <c r="J16" i="6"/>
  <c r="F36" i="6"/>
  <c r="J17" i="6"/>
  <c r="G36" i="6"/>
  <c r="J18" i="6"/>
  <c r="H36" i="6"/>
  <c r="G22" i="6"/>
  <c r="B44" i="5"/>
  <c r="F44" i="5"/>
  <c r="AD11" i="4"/>
  <c r="B11" i="4"/>
  <c r="H11" i="4"/>
  <c r="F45" i="5"/>
  <c r="B45" i="5"/>
  <c r="F33" i="6"/>
  <c r="G33" i="6"/>
  <c r="H33" i="6"/>
  <c r="L9" i="2"/>
  <c r="L14" i="2"/>
  <c r="K8" i="2"/>
  <c r="L8" i="2"/>
  <c r="B35" i="10"/>
  <c r="E130" i="11"/>
  <c r="D130" i="11"/>
  <c r="C130" i="11"/>
  <c r="E129" i="11"/>
  <c r="D129" i="11"/>
  <c r="C129" i="11"/>
  <c r="E128" i="11"/>
  <c r="D128" i="11"/>
  <c r="C128" i="11"/>
  <c r="E127" i="11"/>
  <c r="D127" i="11"/>
  <c r="C127" i="11"/>
  <c r="E126" i="11"/>
  <c r="D126" i="11"/>
  <c r="C126" i="11"/>
  <c r="E125" i="11"/>
  <c r="D125" i="11"/>
  <c r="C125" i="11"/>
  <c r="E124" i="11"/>
  <c r="D124" i="11"/>
  <c r="C124" i="11"/>
  <c r="E123" i="11"/>
  <c r="D123" i="11"/>
  <c r="C123" i="11"/>
  <c r="E122" i="11"/>
  <c r="D122" i="11"/>
  <c r="C122" i="11"/>
  <c r="E121" i="11"/>
  <c r="D121" i="11"/>
  <c r="C121" i="11"/>
  <c r="E120" i="11"/>
  <c r="D120" i="11"/>
  <c r="C120" i="11"/>
  <c r="E119" i="11"/>
  <c r="D119" i="11"/>
  <c r="C119" i="11"/>
  <c r="E118" i="11"/>
  <c r="D118" i="11"/>
  <c r="C118" i="11"/>
  <c r="E117" i="11"/>
  <c r="D117" i="11"/>
  <c r="C117" i="11"/>
  <c r="E116" i="11"/>
  <c r="D116" i="11"/>
  <c r="C116" i="11"/>
  <c r="E115" i="11"/>
  <c r="D115" i="11"/>
  <c r="C115" i="11"/>
  <c r="E114" i="11"/>
  <c r="D114" i="11"/>
  <c r="C114" i="11"/>
  <c r="E113" i="11"/>
  <c r="D113" i="11"/>
  <c r="C113" i="11"/>
  <c r="E112" i="11"/>
  <c r="D112" i="11"/>
  <c r="C112" i="11"/>
  <c r="E111" i="11"/>
  <c r="D111" i="11"/>
  <c r="C111" i="11"/>
  <c r="E110" i="11"/>
  <c r="D110" i="11"/>
  <c r="C110" i="11"/>
  <c r="E109" i="11"/>
  <c r="D109" i="11"/>
  <c r="C109" i="11"/>
  <c r="E108" i="11"/>
  <c r="D108" i="11"/>
  <c r="C108" i="11"/>
  <c r="E107" i="11"/>
  <c r="D107" i="11"/>
  <c r="C107" i="11"/>
  <c r="E106" i="11"/>
  <c r="D106" i="11"/>
  <c r="C106" i="11"/>
  <c r="E105" i="11"/>
  <c r="D105" i="11"/>
  <c r="C105" i="11"/>
  <c r="E104" i="11"/>
  <c r="D104" i="11"/>
  <c r="C104" i="11"/>
  <c r="E103" i="11"/>
  <c r="D103" i="11"/>
  <c r="C103" i="11"/>
  <c r="E102" i="11"/>
  <c r="D102" i="11"/>
  <c r="C102" i="11"/>
  <c r="E101" i="11"/>
  <c r="D101" i="11"/>
  <c r="C101" i="11"/>
  <c r="E100" i="11"/>
  <c r="D100" i="11"/>
  <c r="C100" i="11"/>
  <c r="E99" i="11"/>
  <c r="D99" i="11"/>
  <c r="C99" i="11"/>
  <c r="E98" i="11"/>
  <c r="D98" i="11"/>
  <c r="C98" i="11"/>
  <c r="E97" i="11"/>
  <c r="D97" i="11"/>
  <c r="C97" i="11"/>
  <c r="E96" i="11"/>
  <c r="D96" i="11"/>
  <c r="C96" i="11"/>
  <c r="E95" i="11"/>
  <c r="D95" i="11"/>
  <c r="C95" i="11"/>
  <c r="E94" i="11"/>
  <c r="D94" i="11"/>
  <c r="C94" i="11"/>
  <c r="E93" i="11"/>
  <c r="D93" i="11"/>
  <c r="C93" i="11"/>
  <c r="E92" i="11"/>
  <c r="D92" i="11"/>
  <c r="C92" i="11"/>
  <c r="E91" i="11"/>
  <c r="D91" i="11"/>
  <c r="C91" i="11"/>
  <c r="E90" i="11"/>
  <c r="D90" i="11"/>
  <c r="C90" i="11"/>
  <c r="E89" i="11"/>
  <c r="D89" i="11"/>
  <c r="C89" i="11"/>
  <c r="E88" i="11"/>
  <c r="D88" i="11"/>
  <c r="C88" i="11"/>
  <c r="E87" i="11"/>
  <c r="D87" i="11"/>
  <c r="C87" i="11"/>
  <c r="E86" i="11"/>
  <c r="D86" i="11"/>
  <c r="C86" i="11"/>
  <c r="E85" i="11"/>
  <c r="D85" i="11"/>
  <c r="C85" i="11"/>
  <c r="E84" i="11"/>
  <c r="D84" i="11"/>
  <c r="C84" i="11"/>
  <c r="E83" i="11"/>
  <c r="D83" i="11"/>
  <c r="C83" i="11"/>
  <c r="E82" i="11"/>
  <c r="D82" i="11"/>
  <c r="C82" i="11"/>
  <c r="E81" i="11"/>
  <c r="D81" i="11"/>
  <c r="C81" i="11"/>
  <c r="E80" i="11"/>
  <c r="D80" i="11"/>
  <c r="C80" i="11"/>
  <c r="E79" i="11"/>
  <c r="D79" i="11"/>
  <c r="C79" i="11"/>
  <c r="E78" i="11"/>
  <c r="D78" i="11"/>
  <c r="C78" i="11"/>
  <c r="E77" i="11"/>
  <c r="D77" i="11"/>
  <c r="C77" i="11"/>
  <c r="E76" i="11"/>
  <c r="D76" i="11"/>
  <c r="C76" i="11"/>
  <c r="E75" i="11"/>
  <c r="D75" i="11"/>
  <c r="C75" i="11"/>
  <c r="E74" i="11"/>
  <c r="D74" i="11"/>
  <c r="C74" i="11"/>
  <c r="E73" i="11"/>
  <c r="D73" i="11"/>
  <c r="C73" i="11"/>
  <c r="E72" i="11"/>
  <c r="D72" i="11"/>
  <c r="C72" i="11"/>
  <c r="E71" i="11"/>
  <c r="D71" i="11"/>
  <c r="C71" i="11"/>
  <c r="E70" i="11"/>
  <c r="D70" i="11"/>
  <c r="C70" i="11"/>
  <c r="E69" i="11"/>
  <c r="D69" i="11"/>
  <c r="C69" i="11"/>
  <c r="E68" i="11"/>
  <c r="D68" i="11"/>
  <c r="C68" i="11"/>
  <c r="E67" i="11"/>
  <c r="D67" i="11"/>
  <c r="C67" i="11"/>
  <c r="E66" i="11"/>
  <c r="D66" i="11"/>
  <c r="C66" i="11"/>
  <c r="E65" i="11"/>
  <c r="D65" i="11"/>
  <c r="C65" i="11"/>
  <c r="E64" i="11"/>
  <c r="D64" i="11"/>
  <c r="C64" i="11"/>
  <c r="E63" i="11"/>
  <c r="D63" i="11"/>
  <c r="C63" i="11"/>
  <c r="E62" i="11"/>
  <c r="D62" i="11"/>
  <c r="C62" i="11"/>
  <c r="E61" i="11"/>
  <c r="D61" i="11"/>
  <c r="C61" i="11"/>
  <c r="E60" i="11"/>
  <c r="D60" i="11"/>
  <c r="C60" i="11"/>
  <c r="E59" i="11"/>
  <c r="D59" i="11"/>
  <c r="C59" i="11"/>
  <c r="E58" i="11"/>
  <c r="D58" i="11"/>
  <c r="C58" i="11"/>
  <c r="E57" i="11"/>
  <c r="D57" i="11"/>
  <c r="C57" i="11"/>
  <c r="E56" i="11"/>
  <c r="D56" i="11"/>
  <c r="C56" i="11"/>
  <c r="E55" i="11"/>
  <c r="D55" i="11"/>
  <c r="C55" i="11"/>
  <c r="E54" i="11"/>
  <c r="D54" i="11"/>
  <c r="C54" i="11"/>
  <c r="E53" i="11"/>
  <c r="D53" i="11"/>
  <c r="C53" i="11"/>
  <c r="E52" i="11"/>
  <c r="D52" i="11"/>
  <c r="C52" i="11"/>
  <c r="E51" i="11"/>
  <c r="D51" i="11"/>
  <c r="C51" i="11"/>
  <c r="E50" i="11"/>
  <c r="D50" i="11"/>
  <c r="C50" i="11"/>
  <c r="E49" i="11"/>
  <c r="D49" i="11"/>
  <c r="C49" i="11"/>
  <c r="E48" i="11"/>
  <c r="D48" i="11"/>
  <c r="C48" i="11"/>
  <c r="E47" i="11"/>
  <c r="D47" i="11"/>
  <c r="C47" i="11"/>
  <c r="E46" i="11"/>
  <c r="D46" i="11"/>
  <c r="C46" i="11"/>
  <c r="E45" i="11"/>
  <c r="D45" i="11"/>
  <c r="C45" i="11"/>
  <c r="E44" i="11"/>
  <c r="D44" i="11"/>
  <c r="C44" i="11"/>
  <c r="E43" i="11"/>
  <c r="D43" i="11"/>
  <c r="C43" i="11"/>
  <c r="E42" i="11"/>
  <c r="D42" i="11"/>
  <c r="C42" i="11"/>
  <c r="E41" i="11"/>
  <c r="D41" i="11"/>
  <c r="C41" i="11"/>
  <c r="E40" i="11"/>
  <c r="D40" i="11"/>
  <c r="C40" i="11"/>
  <c r="E39" i="11"/>
  <c r="D39" i="11"/>
  <c r="C39" i="11"/>
  <c r="E38" i="11"/>
  <c r="D38" i="11"/>
  <c r="C38" i="11"/>
  <c r="E37" i="11"/>
  <c r="D37" i="11"/>
  <c r="C37" i="11"/>
  <c r="E36" i="11"/>
  <c r="D36" i="11"/>
  <c r="C36" i="11"/>
  <c r="E35" i="11"/>
  <c r="D35" i="11"/>
  <c r="C35" i="11"/>
  <c r="E34" i="11"/>
  <c r="D34" i="11"/>
  <c r="C34" i="11"/>
  <c r="E33" i="11"/>
  <c r="D33" i="11"/>
  <c r="C33" i="11"/>
  <c r="E32" i="11"/>
  <c r="D32" i="11"/>
  <c r="C32" i="11"/>
  <c r="E31" i="11"/>
  <c r="D31" i="11"/>
  <c r="C31" i="11"/>
  <c r="E30" i="11"/>
  <c r="D30" i="11"/>
  <c r="C30" i="11"/>
  <c r="E29" i="11"/>
  <c r="D29" i="11"/>
  <c r="C29" i="11"/>
  <c r="E28" i="11"/>
  <c r="D28" i="11"/>
  <c r="C28" i="11"/>
  <c r="E27" i="11"/>
  <c r="D27" i="11"/>
  <c r="C27" i="11"/>
  <c r="E26" i="11"/>
  <c r="D26" i="11"/>
  <c r="C26" i="11"/>
  <c r="E25" i="11"/>
  <c r="D25" i="11"/>
  <c r="C25" i="11"/>
  <c r="E24" i="11"/>
  <c r="D24" i="11"/>
  <c r="C24" i="11"/>
  <c r="E23" i="11"/>
  <c r="D23" i="11"/>
  <c r="C23" i="11"/>
  <c r="E22" i="11"/>
  <c r="D22" i="11"/>
  <c r="C22" i="11"/>
  <c r="E21" i="11"/>
  <c r="D21" i="11"/>
  <c r="C21" i="11"/>
  <c r="E20" i="11"/>
  <c r="D20" i="11"/>
  <c r="C20" i="11"/>
  <c r="E19" i="11"/>
  <c r="D19" i="11"/>
  <c r="C19" i="11"/>
  <c r="E18" i="11"/>
  <c r="D18" i="11"/>
  <c r="C18" i="11"/>
  <c r="E17" i="11"/>
  <c r="D17" i="11"/>
  <c r="C17" i="11"/>
  <c r="E16" i="11"/>
  <c r="D16" i="11"/>
  <c r="C16" i="11"/>
  <c r="E15" i="11"/>
  <c r="D15" i="11"/>
  <c r="C15" i="11"/>
  <c r="E14" i="11"/>
  <c r="D14" i="11"/>
  <c r="C14" i="11"/>
  <c r="E13" i="11"/>
  <c r="D13" i="11"/>
  <c r="C13" i="11"/>
  <c r="E12" i="11"/>
  <c r="D12" i="11"/>
  <c r="C12" i="11"/>
  <c r="E11" i="11"/>
  <c r="D11" i="11"/>
  <c r="C11" i="11"/>
  <c r="H10" i="11"/>
  <c r="E10" i="11"/>
  <c r="D10" i="11"/>
  <c r="C10" i="11"/>
  <c r="F9" i="1"/>
  <c r="I10" i="11"/>
  <c r="G11" i="11"/>
  <c r="C36" i="6"/>
  <c r="B43" i="2"/>
  <c r="J43" i="2"/>
  <c r="B42" i="2"/>
  <c r="J42" i="2"/>
  <c r="B41" i="2"/>
  <c r="J41" i="2"/>
  <c r="B40" i="2"/>
  <c r="J40" i="2"/>
  <c r="B39" i="2"/>
  <c r="J39" i="2"/>
  <c r="A43" i="2"/>
  <c r="A42" i="2"/>
  <c r="A41" i="2"/>
  <c r="A40" i="2"/>
  <c r="A39" i="2"/>
  <c r="B28" i="6"/>
  <c r="B32" i="6"/>
  <c r="B29" i="6"/>
  <c r="H11" i="11"/>
  <c r="G12" i="11"/>
  <c r="I11" i="11"/>
  <c r="H12" i="11"/>
  <c r="G13" i="11"/>
  <c r="I12" i="11"/>
  <c r="H13" i="11"/>
  <c r="G14" i="11"/>
  <c r="L20" i="10"/>
  <c r="C33" i="6"/>
  <c r="D33" i="6"/>
  <c r="D36" i="6"/>
  <c r="B36" i="6"/>
  <c r="C32" i="6"/>
  <c r="I13" i="11"/>
  <c r="B35" i="5"/>
  <c r="D35" i="5"/>
  <c r="B50" i="5"/>
  <c r="D50" i="5"/>
  <c r="E48" i="2"/>
  <c r="B39" i="3"/>
  <c r="D39" i="3"/>
  <c r="C34" i="6"/>
  <c r="H14" i="11"/>
  <c r="I14" i="11"/>
  <c r="C35" i="6"/>
  <c r="C37" i="6"/>
  <c r="G15" i="11"/>
  <c r="H15" i="11"/>
  <c r="I15" i="11"/>
  <c r="B34" i="3"/>
  <c r="F34" i="3"/>
  <c r="B22" i="6"/>
  <c r="B33" i="3"/>
  <c r="B14" i="2"/>
  <c r="C14" i="2"/>
  <c r="B29" i="2"/>
  <c r="B28" i="2"/>
  <c r="B27" i="2"/>
  <c r="B26" i="2"/>
  <c r="C18" i="2"/>
  <c r="C13" i="2"/>
  <c r="C9" i="2"/>
  <c r="B50" i="2"/>
  <c r="B49" i="2"/>
  <c r="B48" i="2"/>
  <c r="C10" i="2"/>
  <c r="I21" i="10"/>
  <c r="B102" i="4"/>
  <c r="N102" i="4"/>
  <c r="F21" i="10"/>
  <c r="C29" i="9"/>
  <c r="C28" i="9"/>
  <c r="C27" i="9"/>
  <c r="B38" i="2"/>
  <c r="A38" i="2"/>
  <c r="B8" i="2"/>
  <c r="C8" i="2"/>
  <c r="F33" i="3"/>
  <c r="F10" i="3"/>
  <c r="B10" i="3"/>
  <c r="B42" i="5"/>
  <c r="F42" i="5"/>
  <c r="F43" i="5"/>
  <c r="F23" i="5"/>
  <c r="B43" i="5"/>
  <c r="B23" i="5"/>
  <c r="F22" i="5"/>
  <c r="F41" i="5"/>
  <c r="B22" i="5"/>
  <c r="B41" i="5"/>
  <c r="F30" i="3"/>
  <c r="B30" i="3"/>
  <c r="B29" i="3"/>
  <c r="F29" i="3"/>
  <c r="B44" i="2"/>
  <c r="J38" i="2"/>
  <c r="J44" i="2"/>
  <c r="B32" i="3"/>
  <c r="B11" i="3"/>
  <c r="H17" i="6"/>
  <c r="H19" i="6"/>
  <c r="I19" i="6"/>
  <c r="H21" i="6"/>
  <c r="F27" i="1"/>
  <c r="F26" i="1"/>
  <c r="H16" i="6"/>
  <c r="I16" i="6"/>
  <c r="H18" i="6"/>
  <c r="H20" i="6"/>
  <c r="F16" i="2"/>
  <c r="J16" i="2"/>
  <c r="C22" i="6"/>
  <c r="F8" i="1"/>
  <c r="B16" i="2"/>
  <c r="C16" i="2"/>
  <c r="G16" i="11"/>
  <c r="B34" i="6"/>
  <c r="B35" i="6"/>
  <c r="B37" i="6"/>
  <c r="B31" i="3"/>
  <c r="F31" i="3"/>
  <c r="D32" i="6"/>
  <c r="D34" i="6"/>
  <c r="D35" i="6"/>
  <c r="D37" i="6"/>
  <c r="E34" i="6"/>
  <c r="N97" i="4"/>
  <c r="I21" i="6"/>
  <c r="N93" i="4"/>
  <c r="I17" i="6"/>
  <c r="N96" i="4"/>
  <c r="I20" i="6"/>
  <c r="N94" i="4"/>
  <c r="I18" i="6"/>
  <c r="B46" i="5"/>
  <c r="F46" i="5"/>
  <c r="N95" i="4"/>
  <c r="N92" i="4"/>
  <c r="I19" i="4"/>
  <c r="E37" i="6"/>
  <c r="F39" i="2"/>
  <c r="F42" i="2"/>
  <c r="F9" i="2"/>
  <c r="G9" i="2"/>
  <c r="H9" i="2"/>
  <c r="C8" i="1"/>
  <c r="C10" i="1"/>
  <c r="C26" i="1"/>
  <c r="C29" i="1"/>
  <c r="F32" i="3"/>
  <c r="F11" i="3"/>
  <c r="F38" i="2"/>
  <c r="F40" i="2"/>
  <c r="H22" i="6"/>
  <c r="F43" i="2"/>
  <c r="F41" i="2"/>
  <c r="K16" i="2"/>
  <c r="G16" i="2"/>
  <c r="B35" i="3"/>
  <c r="D16" i="2"/>
  <c r="H16" i="11"/>
  <c r="I16" i="11"/>
  <c r="G17" i="11"/>
  <c r="N98" i="4"/>
  <c r="T12" i="4"/>
  <c r="D22" i="5"/>
  <c r="D42" i="5"/>
  <c r="D31" i="3"/>
  <c r="D44" i="5"/>
  <c r="D33" i="3"/>
  <c r="D43" i="5"/>
  <c r="D32" i="3"/>
  <c r="D11" i="3"/>
  <c r="D41" i="5"/>
  <c r="D15" i="3"/>
  <c r="E41" i="15"/>
  <c r="D29" i="3"/>
  <c r="D45" i="5"/>
  <c r="D34" i="3"/>
  <c r="F44" i="2"/>
  <c r="F35" i="3"/>
  <c r="C11" i="1"/>
  <c r="C27" i="1"/>
  <c r="C28" i="1"/>
  <c r="F32" i="6"/>
  <c r="F34" i="6"/>
  <c r="D30" i="3"/>
  <c r="I22" i="6"/>
  <c r="D35" i="3"/>
  <c r="F35" i="6"/>
  <c r="H32" i="6"/>
  <c r="H34" i="6"/>
  <c r="H35" i="6"/>
  <c r="H37" i="6"/>
  <c r="C9" i="1"/>
  <c r="F17" i="1"/>
  <c r="F18" i="1"/>
  <c r="G32" i="6"/>
  <c r="G34" i="6"/>
  <c r="G35" i="6"/>
  <c r="G37" i="6"/>
  <c r="G10" i="2"/>
  <c r="H10" i="2"/>
  <c r="L16" i="2"/>
  <c r="H16" i="2"/>
  <c r="D18" i="2"/>
  <c r="D14" i="2"/>
  <c r="D13" i="2"/>
  <c r="D10" i="2"/>
  <c r="D9" i="2"/>
  <c r="D8" i="2"/>
  <c r="J19" i="4"/>
  <c r="H17" i="11"/>
  <c r="G18" i="11"/>
  <c r="D23" i="5"/>
  <c r="T11" i="4"/>
  <c r="D10" i="3"/>
  <c r="D46" i="5"/>
  <c r="I37" i="6"/>
  <c r="I34" i="6"/>
  <c r="C17" i="1"/>
  <c r="C20" i="1"/>
  <c r="H18" i="11"/>
  <c r="I18" i="11"/>
  <c r="I17" i="11"/>
  <c r="C19" i="1"/>
  <c r="C18" i="1"/>
  <c r="G19" i="11"/>
  <c r="H40" i="4"/>
  <c r="H19" i="11"/>
  <c r="I19" i="11"/>
  <c r="G20" i="11"/>
  <c r="H20" i="11"/>
  <c r="I20" i="11"/>
  <c r="G21" i="11"/>
  <c r="H21" i="11"/>
  <c r="I21" i="11"/>
  <c r="G22" i="11"/>
  <c r="H22" i="11"/>
  <c r="I22" i="11"/>
  <c r="G23" i="11"/>
  <c r="H23" i="11"/>
  <c r="I23" i="11"/>
  <c r="G24" i="11"/>
  <c r="H24" i="11"/>
  <c r="I24" i="11"/>
  <c r="G25" i="11"/>
  <c r="H25" i="11"/>
  <c r="I25" i="11"/>
  <c r="G26" i="11"/>
  <c r="H26" i="11"/>
  <c r="I26" i="11"/>
  <c r="G27" i="11"/>
  <c r="H27" i="11"/>
  <c r="I27" i="11"/>
  <c r="G28" i="11"/>
  <c r="H28" i="11"/>
  <c r="I28" i="11"/>
  <c r="G29" i="11"/>
  <c r="H29" i="11"/>
  <c r="I29" i="11"/>
  <c r="G30" i="11"/>
  <c r="H30" i="11"/>
  <c r="I30" i="11"/>
  <c r="G31" i="11"/>
  <c r="H31" i="11"/>
  <c r="I31" i="11"/>
  <c r="G32" i="11"/>
  <c r="H32" i="11"/>
  <c r="I32" i="11"/>
  <c r="G33" i="11"/>
  <c r="H33" i="11"/>
  <c r="I33" i="11"/>
  <c r="G34" i="11"/>
  <c r="H34" i="11"/>
  <c r="I34" i="11"/>
  <c r="G35" i="11"/>
  <c r="H35" i="11"/>
  <c r="I35" i="11"/>
  <c r="G36" i="11"/>
  <c r="H36" i="11"/>
  <c r="I36" i="11"/>
  <c r="G37" i="11"/>
  <c r="H37" i="11"/>
  <c r="G38" i="11"/>
  <c r="I37" i="11"/>
  <c r="H38" i="11"/>
  <c r="I38" i="11"/>
  <c r="G41" i="11"/>
  <c r="H41" i="11"/>
  <c r="I41" i="11"/>
  <c r="G44" i="11"/>
  <c r="H44" i="11"/>
  <c r="I44" i="11"/>
  <c r="G39" i="11"/>
  <c r="G45" i="11"/>
  <c r="H45" i="11"/>
  <c r="I45" i="11"/>
  <c r="H39" i="11"/>
  <c r="G42" i="11"/>
  <c r="H42" i="11"/>
  <c r="I42" i="11"/>
  <c r="I39" i="11"/>
  <c r="G40" i="11"/>
  <c r="G46" i="11"/>
  <c r="H46" i="11"/>
  <c r="I46" i="11"/>
  <c r="H40" i="11"/>
  <c r="I40" i="11"/>
  <c r="G43" i="11"/>
  <c r="H43" i="11"/>
  <c r="I43" i="11"/>
  <c r="G47" i="11"/>
  <c r="H47" i="11"/>
  <c r="G48" i="11"/>
  <c r="H48" i="11"/>
  <c r="G49" i="11"/>
  <c r="I47" i="11"/>
  <c r="I48" i="11"/>
  <c r="H49" i="11"/>
  <c r="G50" i="11"/>
  <c r="I49" i="11"/>
  <c r="H50" i="11"/>
  <c r="I50" i="11"/>
  <c r="G51" i="11"/>
  <c r="H51" i="11"/>
  <c r="I51" i="11"/>
  <c r="G52" i="11"/>
  <c r="H52" i="11"/>
  <c r="I52" i="11"/>
  <c r="G53" i="11"/>
  <c r="H53" i="11"/>
  <c r="G54" i="11"/>
  <c r="H54" i="11"/>
  <c r="I54" i="11"/>
  <c r="G55" i="11"/>
  <c r="I53" i="11"/>
  <c r="H55" i="11"/>
  <c r="G56" i="11"/>
  <c r="H56" i="11"/>
  <c r="I56" i="11"/>
  <c r="I55" i="11"/>
  <c r="G57" i="11"/>
  <c r="H57" i="11"/>
  <c r="I57" i="11"/>
  <c r="G58" i="11"/>
  <c r="H58" i="11"/>
  <c r="G59" i="11"/>
  <c r="H59" i="11"/>
  <c r="I59" i="11"/>
  <c r="I58" i="11"/>
  <c r="G60" i="11"/>
  <c r="H60" i="11"/>
  <c r="I60" i="11"/>
  <c r="G61" i="11"/>
  <c r="H61" i="11"/>
  <c r="I61" i="11"/>
  <c r="G62" i="11"/>
  <c r="H62" i="11"/>
  <c r="G63" i="11"/>
  <c r="H63" i="11"/>
  <c r="I63" i="11"/>
  <c r="G64" i="11"/>
  <c r="I62" i="11"/>
  <c r="H64" i="11"/>
  <c r="G65" i="11"/>
  <c r="H65" i="11"/>
  <c r="I65" i="11"/>
  <c r="I64" i="11"/>
  <c r="G66" i="11"/>
  <c r="H66" i="11"/>
  <c r="I66" i="11"/>
  <c r="G67" i="11"/>
  <c r="H67" i="11"/>
  <c r="I67" i="11"/>
  <c r="G68" i="11"/>
  <c r="H68" i="11"/>
  <c r="I68" i="11"/>
  <c r="G69" i="11"/>
  <c r="H69" i="11"/>
  <c r="I69" i="11"/>
  <c r="G70" i="11"/>
  <c r="H70" i="11"/>
  <c r="I70" i="11"/>
  <c r="G71" i="11"/>
  <c r="H71" i="11"/>
  <c r="I71" i="11"/>
  <c r="G72" i="11"/>
  <c r="H72" i="11"/>
  <c r="I72" i="11"/>
  <c r="G73" i="11"/>
  <c r="H73" i="11"/>
  <c r="I73" i="11"/>
  <c r="G74" i="11"/>
  <c r="H74" i="11"/>
  <c r="I74" i="11"/>
  <c r="G75" i="11"/>
  <c r="H75" i="11"/>
  <c r="I75" i="11"/>
  <c r="G76" i="11"/>
  <c r="H76" i="11"/>
  <c r="G77" i="11"/>
  <c r="H77" i="11"/>
  <c r="I77" i="11"/>
  <c r="I76" i="11"/>
  <c r="G78" i="11"/>
  <c r="H78" i="11"/>
  <c r="G79" i="11"/>
  <c r="H79" i="11"/>
  <c r="I79" i="11"/>
  <c r="I78" i="11"/>
  <c r="G80" i="11"/>
  <c r="H80" i="11"/>
  <c r="I80" i="11"/>
  <c r="G81" i="11"/>
  <c r="H81" i="11"/>
  <c r="G82" i="11"/>
  <c r="H82" i="11"/>
  <c r="I82" i="11"/>
  <c r="I81" i="11"/>
  <c r="G83" i="11"/>
  <c r="H83" i="11"/>
  <c r="I83" i="11"/>
  <c r="G84" i="11"/>
  <c r="H84" i="11"/>
  <c r="I84" i="11"/>
  <c r="G85" i="11"/>
  <c r="H85" i="11"/>
  <c r="G86" i="11"/>
  <c r="H86" i="11"/>
  <c r="I86" i="11"/>
  <c r="I85" i="11"/>
  <c r="G87" i="11"/>
  <c r="H87" i="11"/>
  <c r="G88" i="11"/>
  <c r="H88" i="11"/>
  <c r="I88" i="11"/>
  <c r="I87" i="11"/>
  <c r="G89" i="11"/>
  <c r="H89" i="11"/>
  <c r="I89" i="11"/>
  <c r="G90" i="11"/>
  <c r="H90" i="11"/>
  <c r="I90" i="11"/>
  <c r="G91" i="11"/>
  <c r="H91" i="11"/>
  <c r="I91" i="11"/>
  <c r="G92" i="11"/>
  <c r="H92" i="11"/>
  <c r="G93" i="11"/>
  <c r="I92" i="11"/>
  <c r="H93" i="11"/>
  <c r="I93" i="11"/>
  <c r="G94" i="11"/>
  <c r="H94" i="11"/>
  <c r="I94" i="11"/>
  <c r="G95" i="11"/>
  <c r="H95" i="11"/>
  <c r="G96" i="11"/>
  <c r="H96" i="11"/>
  <c r="I96" i="11"/>
  <c r="I95" i="11"/>
  <c r="G97" i="11"/>
  <c r="H97" i="11"/>
  <c r="G98" i="11"/>
  <c r="I97" i="11"/>
  <c r="H98" i="11"/>
  <c r="I98" i="11"/>
  <c r="G99" i="11"/>
  <c r="H99" i="11"/>
  <c r="G100" i="11"/>
  <c r="H100" i="11"/>
  <c r="I100" i="11"/>
  <c r="I99" i="11"/>
  <c r="G101" i="11"/>
  <c r="H101" i="11"/>
  <c r="G102" i="11"/>
  <c r="I101" i="11"/>
  <c r="H102" i="11"/>
  <c r="I102" i="11"/>
  <c r="G103" i="11"/>
  <c r="H103" i="11"/>
  <c r="I103" i="11"/>
  <c r="G104" i="11"/>
  <c r="H104" i="11"/>
  <c r="I104" i="11"/>
  <c r="G105" i="11"/>
  <c r="H105" i="11"/>
  <c r="I105" i="11"/>
  <c r="G106" i="11"/>
  <c r="H106" i="11"/>
  <c r="I106" i="11"/>
  <c r="G107" i="11"/>
  <c r="H107" i="11"/>
  <c r="I107" i="11"/>
  <c r="G108" i="11"/>
  <c r="H108" i="11"/>
  <c r="I108" i="11"/>
  <c r="G109" i="11"/>
  <c r="H109" i="11"/>
  <c r="I109" i="11"/>
  <c r="G110" i="11"/>
  <c r="H110" i="11"/>
  <c r="I110" i="11"/>
  <c r="G111" i="11"/>
  <c r="H111" i="11"/>
  <c r="G112" i="11"/>
  <c r="H112" i="11"/>
  <c r="I112" i="11"/>
  <c r="I111" i="11"/>
  <c r="G113" i="11"/>
  <c r="H113" i="11"/>
  <c r="G114" i="11"/>
  <c r="H114" i="11"/>
  <c r="I114" i="11"/>
  <c r="I113" i="11"/>
  <c r="G115" i="11"/>
  <c r="H115" i="11"/>
  <c r="I115" i="11"/>
  <c r="G116" i="11"/>
  <c r="H116" i="11"/>
  <c r="I116" i="11"/>
  <c r="G117" i="11"/>
  <c r="H117" i="11"/>
  <c r="I117" i="11"/>
  <c r="G118" i="11"/>
  <c r="H118" i="11"/>
  <c r="G119" i="11"/>
  <c r="H119" i="11"/>
  <c r="I119" i="11"/>
  <c r="G120" i="11"/>
  <c r="I118" i="11"/>
  <c r="H120" i="11"/>
  <c r="G121" i="11"/>
  <c r="H121" i="11"/>
  <c r="I121" i="11"/>
  <c r="I120" i="11"/>
  <c r="G122" i="11"/>
  <c r="H122" i="11"/>
  <c r="I122" i="11"/>
  <c r="G123" i="11"/>
  <c r="H123" i="11"/>
  <c r="G124" i="11"/>
  <c r="H124" i="11"/>
  <c r="I124" i="11"/>
  <c r="I123" i="11"/>
  <c r="G125" i="11"/>
  <c r="H125" i="11"/>
  <c r="I125" i="11"/>
  <c r="G126" i="11"/>
  <c r="H126" i="11"/>
  <c r="I126" i="11"/>
  <c r="G127" i="11"/>
  <c r="H127" i="11"/>
  <c r="I127" i="11"/>
  <c r="G128" i="11"/>
  <c r="H128" i="11"/>
  <c r="I128" i="11"/>
  <c r="G129" i="11"/>
  <c r="H129" i="11"/>
  <c r="G130" i="11"/>
  <c r="H130" i="11"/>
  <c r="I130" i="11"/>
  <c r="I129" i="11"/>
  <c r="J130" i="11"/>
  <c r="F130" i="11"/>
  <c r="J11" i="11"/>
  <c r="F11" i="11"/>
  <c r="J10" i="11"/>
  <c r="F10" i="11"/>
  <c r="J12" i="11"/>
  <c r="F12" i="11"/>
  <c r="J13" i="11"/>
  <c r="F13" i="11"/>
  <c r="J15" i="11"/>
  <c r="F15" i="11"/>
  <c r="J14" i="11"/>
  <c r="F14" i="11"/>
  <c r="J16" i="11"/>
  <c r="F16" i="11"/>
  <c r="J17" i="11"/>
  <c r="F17" i="11"/>
  <c r="J18" i="11"/>
  <c r="F18" i="11"/>
  <c r="J19" i="11"/>
  <c r="F19" i="11"/>
  <c r="J20" i="11"/>
  <c r="F20" i="11"/>
  <c r="J21" i="11"/>
  <c r="F21" i="11"/>
  <c r="J22" i="11"/>
  <c r="F22" i="11"/>
  <c r="J23" i="11"/>
  <c r="F23" i="11"/>
  <c r="J24" i="11"/>
  <c r="F24" i="11"/>
  <c r="J25" i="11"/>
  <c r="F25" i="11"/>
  <c r="J26" i="11"/>
  <c r="F26" i="11"/>
  <c r="J27" i="11"/>
  <c r="F27" i="11"/>
  <c r="J28" i="11"/>
  <c r="F28" i="11"/>
  <c r="J29" i="11"/>
  <c r="F29" i="11"/>
  <c r="J30" i="11"/>
  <c r="F30" i="11"/>
  <c r="J31" i="11"/>
  <c r="F31" i="11"/>
  <c r="J32" i="11"/>
  <c r="F32" i="11"/>
  <c r="J33" i="11"/>
  <c r="F33" i="11"/>
  <c r="J34" i="11"/>
  <c r="F34" i="11"/>
  <c r="J35" i="11"/>
  <c r="F35" i="11"/>
  <c r="J36" i="11"/>
  <c r="F36" i="11"/>
  <c r="J38" i="11"/>
  <c r="F38" i="11"/>
  <c r="J37" i="11"/>
  <c r="F37" i="11"/>
  <c r="J41" i="11"/>
  <c r="F41" i="11"/>
  <c r="J44" i="11"/>
  <c r="F44" i="11"/>
  <c r="J39" i="11"/>
  <c r="F39" i="11"/>
  <c r="J42" i="11"/>
  <c r="F42" i="11"/>
  <c r="J40" i="11"/>
  <c r="F40" i="11"/>
  <c r="J43" i="11"/>
  <c r="F43" i="11"/>
  <c r="J45" i="11"/>
  <c r="F45" i="11"/>
  <c r="J49" i="11"/>
  <c r="F49" i="11"/>
  <c r="J46" i="11"/>
  <c r="F46" i="11"/>
  <c r="J48" i="11"/>
  <c r="F48" i="11"/>
  <c r="J47" i="11"/>
  <c r="F47" i="11"/>
  <c r="J50" i="11"/>
  <c r="F50" i="11"/>
  <c r="J51" i="11"/>
  <c r="F51" i="11"/>
  <c r="J52" i="11"/>
  <c r="F52" i="11"/>
  <c r="J54" i="11"/>
  <c r="F54" i="11"/>
  <c r="J56" i="11"/>
  <c r="F56" i="11"/>
  <c r="J53" i="11"/>
  <c r="F53" i="11"/>
  <c r="J55" i="11"/>
  <c r="F55" i="11"/>
  <c r="J57" i="11"/>
  <c r="F57" i="11"/>
  <c r="J59" i="11"/>
  <c r="F59" i="11"/>
  <c r="J58" i="11"/>
  <c r="F58" i="11"/>
  <c r="J60" i="11"/>
  <c r="F60" i="11"/>
  <c r="J61" i="11"/>
  <c r="F61" i="11"/>
  <c r="J63" i="11"/>
  <c r="F63" i="11"/>
  <c r="J64" i="11"/>
  <c r="F64" i="11"/>
  <c r="J65" i="11"/>
  <c r="F65" i="11"/>
  <c r="J62" i="11"/>
  <c r="F62" i="11"/>
  <c r="J66" i="11"/>
  <c r="F66" i="11"/>
  <c r="J68" i="11"/>
  <c r="F68" i="11"/>
  <c r="J67" i="11"/>
  <c r="F67" i="11"/>
  <c r="J69" i="11"/>
  <c r="F69" i="11"/>
  <c r="J70" i="11"/>
  <c r="F70" i="11"/>
  <c r="J71" i="11"/>
  <c r="F71" i="11"/>
  <c r="J72" i="11"/>
  <c r="F72" i="11"/>
  <c r="J73" i="11"/>
  <c r="F73" i="11"/>
  <c r="J75" i="11"/>
  <c r="F75" i="11"/>
  <c r="J74" i="11"/>
  <c r="F74" i="11"/>
  <c r="J77" i="11"/>
  <c r="F77" i="11"/>
  <c r="J79" i="11"/>
  <c r="F79" i="11"/>
  <c r="J76" i="11"/>
  <c r="F76" i="11"/>
  <c r="J78" i="11"/>
  <c r="F78" i="11"/>
  <c r="J80" i="11"/>
  <c r="F80" i="11"/>
  <c r="J82" i="11"/>
  <c r="F82" i="11"/>
  <c r="J81" i="11"/>
  <c r="F81" i="11"/>
  <c r="J83" i="11"/>
  <c r="F83" i="11"/>
  <c r="J86" i="11"/>
  <c r="F86" i="11"/>
  <c r="J84" i="11"/>
  <c r="F84" i="11"/>
  <c r="J88" i="11"/>
  <c r="F88" i="11"/>
  <c r="J85" i="11"/>
  <c r="F85" i="11"/>
  <c r="J89" i="11"/>
  <c r="F89" i="11"/>
  <c r="J87" i="11"/>
  <c r="F87" i="11"/>
  <c r="J90" i="11"/>
  <c r="F90" i="11"/>
  <c r="J92" i="11"/>
  <c r="F92" i="11"/>
  <c r="J91" i="11"/>
  <c r="F91" i="11"/>
  <c r="J93" i="11"/>
  <c r="F93" i="11"/>
  <c r="J94" i="11"/>
  <c r="F94" i="11"/>
  <c r="J96" i="11"/>
  <c r="F96" i="11"/>
  <c r="J95" i="11"/>
  <c r="F95" i="11"/>
  <c r="J97" i="11"/>
  <c r="F97" i="11"/>
  <c r="J98" i="11"/>
  <c r="F98" i="11"/>
  <c r="J100" i="11"/>
  <c r="F100" i="11"/>
  <c r="J99" i="11"/>
  <c r="F99" i="11"/>
  <c r="J101" i="11"/>
  <c r="F101" i="11"/>
  <c r="J102" i="11"/>
  <c r="F102" i="11"/>
  <c r="J103" i="11"/>
  <c r="F103" i="11"/>
  <c r="J104" i="11"/>
  <c r="F104" i="11"/>
  <c r="J105" i="11"/>
  <c r="F105" i="11"/>
  <c r="J106" i="11"/>
  <c r="F106" i="11"/>
  <c r="J107" i="11"/>
  <c r="F107" i="11"/>
  <c r="J108" i="11"/>
  <c r="F108" i="11"/>
  <c r="J109" i="11"/>
  <c r="F109" i="11"/>
  <c r="J112" i="11"/>
  <c r="F112" i="11"/>
  <c r="J110" i="11"/>
  <c r="F110" i="11"/>
  <c r="J111" i="11"/>
  <c r="F111" i="11"/>
  <c r="J114" i="11"/>
  <c r="F114" i="11"/>
  <c r="J113" i="11"/>
  <c r="F113" i="11"/>
  <c r="J116" i="11"/>
  <c r="F116" i="11"/>
  <c r="J115" i="11"/>
  <c r="F115" i="11"/>
  <c r="J117" i="11"/>
  <c r="F117" i="11"/>
  <c r="J119" i="11"/>
  <c r="F119" i="11"/>
  <c r="J121" i="11"/>
  <c r="F121" i="11"/>
  <c r="J118" i="11"/>
  <c r="F118" i="11"/>
  <c r="J120" i="11"/>
  <c r="F120" i="11"/>
  <c r="J122" i="11"/>
  <c r="F122" i="11"/>
  <c r="J124" i="11"/>
  <c r="F124" i="11"/>
  <c r="J123" i="11"/>
  <c r="F123" i="11"/>
  <c r="J129" i="11"/>
  <c r="F129" i="11"/>
  <c r="J128" i="11"/>
  <c r="F128" i="11"/>
  <c r="J127" i="11"/>
  <c r="F127" i="11"/>
  <c r="J125" i="11"/>
  <c r="F125" i="11"/>
  <c r="J126" i="11"/>
  <c r="F126" i="11"/>
  <c r="B36" i="10" a="1"/>
  <c r="K52" i="15" a="1"/>
  <c r="K42" i="15" a="1"/>
  <c r="B37" i="10" a="1"/>
  <c r="B37" i="10" l="1"/>
  <c r="K42" i="15"/>
  <c r="L48" i="15" s="1"/>
  <c r="K52" i="15"/>
  <c r="B36" i="10"/>
  <c r="K43" i="15" a="1"/>
  <c r="K44" i="15" a="1"/>
  <c r="M43" i="15" a="1"/>
  <c r="B38" i="10" a="1"/>
  <c r="M52" i="15" a="1"/>
  <c r="M42" i="15" a="1"/>
  <c r="M44" i="15" a="1"/>
  <c r="M44" i="15" l="1"/>
  <c r="M42" i="15"/>
  <c r="K47" i="15" s="1"/>
  <c r="M52" i="15"/>
  <c r="B38" i="10"/>
  <c r="L19" i="10" s="1"/>
  <c r="M43" i="15"/>
  <c r="K44" i="15"/>
  <c r="K43" i="15"/>
  <c r="D19" i="3"/>
  <c r="B19" i="3"/>
  <c r="J19" i="10"/>
  <c r="M45" i="15" l="1"/>
  <c r="B38" i="3"/>
  <c r="D49" i="5"/>
  <c r="D51" i="5" s="1"/>
  <c r="D56" i="5" s="1"/>
  <c r="B49" i="5"/>
  <c r="B51" i="5" s="1"/>
  <c r="B56" i="5" s="1"/>
  <c r="H19" i="10"/>
  <c r="B37" i="5"/>
  <c r="D37" i="5"/>
  <c r="L21" i="10"/>
  <c r="B28" i="4"/>
  <c r="B15" i="2"/>
  <c r="F15" i="2"/>
  <c r="N28" i="4"/>
  <c r="J21" i="10"/>
  <c r="D18" i="3"/>
  <c r="D17" i="3" s="1"/>
  <c r="B18" i="3"/>
  <c r="B17" i="3" s="1"/>
  <c r="K45" i="15"/>
  <c r="T28" i="4" l="1"/>
  <c r="F12" i="2"/>
  <c r="H21" i="10"/>
  <c r="B12" i="2"/>
  <c r="K19" i="10"/>
  <c r="D10" i="1"/>
  <c r="E10" i="1" s="1"/>
  <c r="J10" i="1" s="1"/>
  <c r="D19" i="1"/>
  <c r="E19" i="1" s="1"/>
  <c r="J19" i="1" s="1"/>
  <c r="D20" i="1"/>
  <c r="E20" i="1" s="1"/>
  <c r="J20" i="1" s="1"/>
  <c r="D11" i="1"/>
  <c r="E11" i="1" s="1"/>
  <c r="J11" i="1" s="1"/>
  <c r="G15" i="2"/>
  <c r="G17" i="2" s="1"/>
  <c r="F17" i="2"/>
  <c r="H28" i="4"/>
  <c r="D38" i="3"/>
  <c r="D40" i="3" s="1"/>
  <c r="D45" i="3" s="1"/>
  <c r="B40" i="3"/>
  <c r="B45" i="3" s="1"/>
  <c r="B17" i="2"/>
  <c r="C15" i="2"/>
  <c r="C17" i="2" s="1"/>
  <c r="B9" i="3"/>
  <c r="D9" i="3"/>
  <c r="C12" i="2" l="1"/>
  <c r="D12" i="2" s="1"/>
  <c r="G12" i="2"/>
  <c r="H12" i="2" s="1"/>
  <c r="H15" i="2"/>
  <c r="H17" i="2" s="1"/>
  <c r="K21" i="10"/>
  <c r="F11" i="2"/>
  <c r="F20" i="2" s="1"/>
  <c r="F22" i="2" s="1"/>
  <c r="B11" i="2"/>
  <c r="B31" i="5"/>
  <c r="D31" i="5"/>
  <c r="H31" i="10"/>
  <c r="G17" i="1"/>
  <c r="H17" i="1" s="1"/>
  <c r="G18" i="1"/>
  <c r="H18" i="1" s="1"/>
  <c r="G9" i="1"/>
  <c r="H9" i="1" s="1"/>
  <c r="F47" i="2"/>
  <c r="F51" i="2" s="1"/>
  <c r="F56" i="2" s="1"/>
  <c r="F25" i="2" s="1"/>
  <c r="F31" i="2" s="1"/>
  <c r="G8" i="1"/>
  <c r="H8" i="1" s="1"/>
  <c r="H30" i="10"/>
  <c r="B101" i="4"/>
  <c r="B47" i="2"/>
  <c r="B51" i="2" s="1"/>
  <c r="B56" i="2" s="1"/>
  <c r="B25" i="2" s="1"/>
  <c r="B31" i="2" s="1"/>
  <c r="B24" i="5"/>
  <c r="B10" i="4"/>
  <c r="B8" i="3"/>
  <c r="D15" i="2"/>
  <c r="D17" i="2" s="1"/>
  <c r="D24" i="5"/>
  <c r="D8" i="3"/>
  <c r="N10" i="4"/>
  <c r="L30" i="10" l="1"/>
  <c r="H32" i="10"/>
  <c r="J12" i="2"/>
  <c r="F30" i="10"/>
  <c r="B9" i="4"/>
  <c r="H10" i="4"/>
  <c r="I24" i="5"/>
  <c r="B20" i="5"/>
  <c r="B15" i="5" s="1"/>
  <c r="B14" i="5" s="1"/>
  <c r="B8" i="5" s="1"/>
  <c r="I15" i="5"/>
  <c r="J8" i="1"/>
  <c r="L31" i="10"/>
  <c r="F31" i="10"/>
  <c r="J31" i="10" s="1"/>
  <c r="K31" i="5"/>
  <c r="D30" i="5"/>
  <c r="D17" i="5" s="1"/>
  <c r="I31" i="5"/>
  <c r="B30" i="5"/>
  <c r="B17" i="5" s="1"/>
  <c r="N101" i="4"/>
  <c r="N105" i="4" s="1"/>
  <c r="N110" i="4" s="1"/>
  <c r="B105" i="4"/>
  <c r="B110" i="4" s="1"/>
  <c r="K15" i="5"/>
  <c r="D20" i="5"/>
  <c r="D15" i="5" s="1"/>
  <c r="D14" i="5" s="1"/>
  <c r="D8" i="5" s="1"/>
  <c r="B20" i="2"/>
  <c r="B22" i="2" s="1"/>
  <c r="D11" i="2"/>
  <c r="D20" i="2" s="1"/>
  <c r="C11" i="2"/>
  <c r="D6" i="3"/>
  <c r="K19" i="1" s="1"/>
  <c r="D43" i="3"/>
  <c r="J17" i="1"/>
  <c r="G11" i="2"/>
  <c r="H11" i="2" s="1"/>
  <c r="H20" i="2" s="1"/>
  <c r="T10" i="4"/>
  <c r="N9" i="4"/>
  <c r="B6" i="3"/>
  <c r="B43" i="3"/>
  <c r="M53" i="15" a="1"/>
  <c r="M54" i="15" a="1"/>
  <c r="M54" i="15" l="1"/>
  <c r="M53" i="15"/>
  <c r="H22" i="2"/>
  <c r="F54" i="2" s="1"/>
  <c r="F55" i="2" s="1"/>
  <c r="K17" i="1"/>
  <c r="F33" i="2"/>
  <c r="M17" i="1" s="1"/>
  <c r="N17" i="1" s="1"/>
  <c r="B7" i="5"/>
  <c r="B58" i="5"/>
  <c r="D22" i="2"/>
  <c r="B54" i="2" s="1"/>
  <c r="B55" i="2" s="1"/>
  <c r="K8" i="1"/>
  <c r="K33" i="5"/>
  <c r="K28" i="5"/>
  <c r="K36" i="5"/>
  <c r="K32" i="5"/>
  <c r="K25" i="5"/>
  <c r="K23" i="5"/>
  <c r="K35" i="5"/>
  <c r="K26" i="5"/>
  <c r="K34" i="5"/>
  <c r="K22" i="5"/>
  <c r="K37" i="5"/>
  <c r="B30" i="4"/>
  <c r="B32" i="4"/>
  <c r="B34" i="4" s="1"/>
  <c r="H9" i="4"/>
  <c r="K24" i="5"/>
  <c r="F35" i="5"/>
  <c r="L58" i="15"/>
  <c r="F19" i="3" s="1"/>
  <c r="F39" i="3"/>
  <c r="F50" i="5"/>
  <c r="J30" i="10"/>
  <c r="K30" i="10"/>
  <c r="F32" i="10"/>
  <c r="K57" i="15"/>
  <c r="F18" i="3" s="1"/>
  <c r="F17" i="3" s="1"/>
  <c r="K10" i="1"/>
  <c r="B44" i="3"/>
  <c r="B46" i="3"/>
  <c r="M10" i="1" s="1"/>
  <c r="N10" i="1" s="1"/>
  <c r="B33" i="2"/>
  <c r="M8" i="1" s="1"/>
  <c r="N8" i="1" s="1"/>
  <c r="K12" i="2"/>
  <c r="L12" i="2"/>
  <c r="D44" i="3"/>
  <c r="D46" i="3"/>
  <c r="M19" i="1" s="1"/>
  <c r="N19" i="1" s="1"/>
  <c r="G27" i="1"/>
  <c r="H27" i="1" s="1"/>
  <c r="X101" i="4"/>
  <c r="X105" i="4" s="1"/>
  <c r="X110" i="4" s="1"/>
  <c r="G26" i="1"/>
  <c r="H26" i="1" s="1"/>
  <c r="J47" i="2"/>
  <c r="J51" i="2" s="1"/>
  <c r="J56" i="2" s="1"/>
  <c r="J25" i="2" s="1"/>
  <c r="J31" i="2" s="1"/>
  <c r="D58" i="5"/>
  <c r="D7" i="5"/>
  <c r="T9" i="4"/>
  <c r="N32" i="4"/>
  <c r="N34" i="4" s="1"/>
  <c r="N30" i="4"/>
  <c r="I32" i="5"/>
  <c r="I35" i="5"/>
  <c r="I28" i="5"/>
  <c r="I23" i="5"/>
  <c r="I25" i="5"/>
  <c r="I26" i="5"/>
  <c r="I36" i="5"/>
  <c r="I34" i="5"/>
  <c r="I33" i="5"/>
  <c r="I22" i="5"/>
  <c r="I37" i="5"/>
  <c r="F38" i="3"/>
  <c r="F40" i="3" s="1"/>
  <c r="F45" i="3" s="1"/>
  <c r="L32" i="10"/>
  <c r="F37" i="5"/>
  <c r="F49" i="5"/>
  <c r="F51" i="5" s="1"/>
  <c r="F56" i="5" s="1"/>
  <c r="K53" i="15" a="1"/>
  <c r="K54" i="15" a="1"/>
  <c r="K54" i="15" l="1"/>
  <c r="K53" i="15"/>
  <c r="H32" i="4"/>
  <c r="B33" i="4" s="1"/>
  <c r="H33" i="4" s="1"/>
  <c r="B60" i="5"/>
  <c r="B59" i="5"/>
  <c r="H34" i="4"/>
  <c r="J32" i="10"/>
  <c r="J15" i="2"/>
  <c r="X28" i="4"/>
  <c r="H30" i="4"/>
  <c r="B27" i="4"/>
  <c r="D28" i="1"/>
  <c r="E28" i="1" s="1"/>
  <c r="J28" i="1" s="1"/>
  <c r="D29" i="1"/>
  <c r="E29" i="1" s="1"/>
  <c r="J29" i="1" s="1"/>
  <c r="T30" i="4"/>
  <c r="N27" i="4"/>
  <c r="N35" i="4"/>
  <c r="T34" i="4"/>
  <c r="D60" i="5"/>
  <c r="D59" i="5"/>
  <c r="M55" i="15"/>
  <c r="T32" i="4"/>
  <c r="N33" i="4" s="1"/>
  <c r="T33" i="4" s="1"/>
  <c r="J26" i="1"/>
  <c r="K32" i="10"/>
  <c r="J11" i="2"/>
  <c r="K11" i="2" s="1"/>
  <c r="L11" i="2" s="1"/>
  <c r="F31" i="5"/>
  <c r="K55" i="15"/>
  <c r="N41" i="4" l="1"/>
  <c r="T41" i="4" s="1"/>
  <c r="N43" i="4" s="1"/>
  <c r="T35" i="4"/>
  <c r="F9" i="3"/>
  <c r="H27" i="4"/>
  <c r="H31" i="4" s="1"/>
  <c r="B31" i="4"/>
  <c r="K11" i="1"/>
  <c r="B54" i="5"/>
  <c r="B55" i="5" s="1"/>
  <c r="B61" i="5"/>
  <c r="M11" i="1" s="1"/>
  <c r="N11" i="1" s="1"/>
  <c r="AD28" i="4"/>
  <c r="F30" i="5"/>
  <c r="F17" i="5" s="1"/>
  <c r="T27" i="4"/>
  <c r="T31" i="4" s="1"/>
  <c r="N31" i="4"/>
  <c r="D54" i="5"/>
  <c r="D55" i="5" s="1"/>
  <c r="K20" i="1"/>
  <c r="D61" i="5"/>
  <c r="M20" i="1" s="1"/>
  <c r="N20" i="1" s="1"/>
  <c r="K15" i="2"/>
  <c r="K17" i="2" s="1"/>
  <c r="J17" i="2"/>
  <c r="J20" i="2" s="1"/>
  <c r="J22" i="2" s="1"/>
  <c r="B35" i="4"/>
  <c r="B41" i="4" l="1"/>
  <c r="H41" i="4" s="1"/>
  <c r="B43" i="4" s="1"/>
  <c r="H35" i="4"/>
  <c r="L15" i="2"/>
  <c r="L17" i="2" s="1"/>
  <c r="L20" i="2" s="1"/>
  <c r="F8" i="3"/>
  <c r="F24" i="5"/>
  <c r="X10" i="4"/>
  <c r="K18" i="1"/>
  <c r="N108" i="4"/>
  <c r="N109" i="4" s="1"/>
  <c r="N49" i="4" s="1"/>
  <c r="N56" i="4" s="1"/>
  <c r="N73" i="4" s="1"/>
  <c r="N81" i="4" s="1"/>
  <c r="I18" i="1" l="1"/>
  <c r="L18" i="1" s="1"/>
  <c r="J18" i="1"/>
  <c r="M18" i="1" s="1"/>
  <c r="N85" i="4"/>
  <c r="N87" i="4"/>
  <c r="F20" i="5"/>
  <c r="F15" i="5" s="1"/>
  <c r="F14" i="5" s="1"/>
  <c r="F8" i="5" s="1"/>
  <c r="M15" i="5"/>
  <c r="M24" i="5" s="1"/>
  <c r="F6" i="3"/>
  <c r="K28" i="1" s="1"/>
  <c r="F43" i="3"/>
  <c r="L22" i="2"/>
  <c r="J54" i="2" s="1"/>
  <c r="J55" i="2" s="1"/>
  <c r="K26" i="1"/>
  <c r="J33" i="2"/>
  <c r="M26" i="1" s="1"/>
  <c r="N26" i="1" s="1"/>
  <c r="X9" i="4"/>
  <c r="AD10" i="4"/>
  <c r="K9" i="1"/>
  <c r="B108" i="4"/>
  <c r="B109" i="4" s="1"/>
  <c r="B49" i="4" s="1"/>
  <c r="B56" i="4" s="1"/>
  <c r="B73" i="4" s="1"/>
  <c r="B81" i="4" s="1"/>
  <c r="B85" i="4" l="1"/>
  <c r="B87" i="4"/>
  <c r="J9" i="1"/>
  <c r="M9" i="1" s="1"/>
  <c r="I9" i="1"/>
  <c r="L9" i="1" s="1"/>
  <c r="N9" i="1" s="1"/>
  <c r="M25" i="5"/>
  <c r="M34" i="5"/>
  <c r="M22" i="5"/>
  <c r="M23" i="5"/>
  <c r="M28" i="5"/>
  <c r="M32" i="5"/>
  <c r="M36" i="5"/>
  <c r="M26" i="5"/>
  <c r="M33" i="5"/>
  <c r="M35" i="5"/>
  <c r="M37" i="5"/>
  <c r="M31" i="5"/>
  <c r="F7" i="5"/>
  <c r="F58" i="5"/>
  <c r="AD9" i="4"/>
  <c r="X32" i="4"/>
  <c r="X34" i="4" s="1"/>
  <c r="X30" i="4"/>
  <c r="F46" i="3"/>
  <c r="M28" i="1" s="1"/>
  <c r="N28" i="1" s="1"/>
  <c r="F44" i="3"/>
  <c r="N18" i="1"/>
  <c r="AD30" i="4" l="1"/>
  <c r="X27" i="4"/>
  <c r="AD34" i="4"/>
  <c r="AD32" i="4"/>
  <c r="X33" i="4" s="1"/>
  <c r="AD33" i="4" s="1"/>
  <c r="F60" i="5"/>
  <c r="F59" i="5"/>
  <c r="X35" i="4" l="1"/>
  <c r="AD27" i="4"/>
  <c r="AD31" i="4" s="1"/>
  <c r="X31" i="4"/>
  <c r="F54" i="5"/>
  <c r="F55" i="5" s="1"/>
  <c r="K29" i="1"/>
  <c r="F61" i="5"/>
  <c r="M29" i="1" s="1"/>
  <c r="N29" i="1" s="1"/>
  <c r="X41" i="4" l="1"/>
  <c r="AD41" i="4" s="1"/>
  <c r="X43" i="4" s="1"/>
  <c r="AD35" i="4"/>
  <c r="K27" i="1" l="1"/>
  <c r="X108" i="4"/>
  <c r="X109" i="4" s="1"/>
  <c r="X49" i="4" s="1"/>
  <c r="X56" i="4" s="1"/>
  <c r="X73" i="4" s="1"/>
  <c r="X81" i="4" s="1"/>
  <c r="I27" i="1" l="1"/>
  <c r="L27" i="1" s="1"/>
  <c r="J27" i="1"/>
  <c r="M27" i="1" s="1"/>
  <c r="X87" i="4"/>
  <c r="X85" i="4"/>
  <c r="N27"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<sst xmlns="http://schemas.openxmlformats.org/spreadsheetml/2006/main" count="1046" uniqueCount="627">
  <si>
    <t>Europe</t>
  </si>
  <si>
    <t>This worksheet calculates Solvency II for Europe.</t>
  </si>
  <si>
    <t>U.S.</t>
  </si>
  <si>
    <t>Canada</t>
  </si>
  <si>
    <t>Bermuda</t>
  </si>
  <si>
    <t>This worksheet calculated the Insurance Solvency Framework for Bermuda.</t>
  </si>
  <si>
    <t>This worksheet summarizes the solvency or capital for the various jurisdictions.</t>
  </si>
  <si>
    <t xml:space="preserve">The asset inputs particular to Europe are located on the Inputs - Assets worksheet under "Duration (In Years) and under "Solvency II". </t>
  </si>
  <si>
    <t>They include the duration of bonds, an assumed interest rate and an up/down shock to the interest rate.</t>
  </si>
  <si>
    <t>The liability inputs particular to Europe are located on the Inputs - Liabilities worksheet under "Solvency II". They include the</t>
  </si>
  <si>
    <t>assumed age for both the life insurance and annuity policy holders.</t>
  </si>
  <si>
    <t>The assets used as based on Book Value and are found on the Inputs - Assets worksheet.</t>
  </si>
  <si>
    <t>The solvency factors are located on the Inputs - Solvency Factors worksheet and are not to be changed.</t>
  </si>
  <si>
    <t>The book value of assets are on the Inputs-Assets worksheet.</t>
  </si>
  <si>
    <t>The liabilities are found on the Inputs-Liabilities worksheet.</t>
  </si>
  <si>
    <t>The market value of assets are on the Inputs-Assets worksheet.</t>
  </si>
  <si>
    <t>Riskier Assets Scenario</t>
  </si>
  <si>
    <t>Change Liability Mix Scenario</t>
  </si>
  <si>
    <t>Assets</t>
  </si>
  <si>
    <t>RBC C-1 Factors</t>
  </si>
  <si>
    <t>Fixed Income</t>
  </si>
  <si>
    <t>Assume NAIC 2 bonds</t>
  </si>
  <si>
    <t>Mortgages</t>
  </si>
  <si>
    <t>Assume CML 2 mortgages</t>
  </si>
  <si>
    <t>Real Estate</t>
  </si>
  <si>
    <t>Equities</t>
  </si>
  <si>
    <t>Liabilities</t>
  </si>
  <si>
    <t>Product</t>
  </si>
  <si>
    <t>Product Type</t>
  </si>
  <si>
    <t>RBC C-3 Factor</t>
  </si>
  <si>
    <t>Product 1</t>
  </si>
  <si>
    <t>Life</t>
  </si>
  <si>
    <t>Product 2</t>
  </si>
  <si>
    <t>Annuity</t>
  </si>
  <si>
    <t>Total</t>
  </si>
  <si>
    <t>C-2</t>
  </si>
  <si>
    <t>Net Amount at Risk Range</t>
  </si>
  <si>
    <t>Factor</t>
  </si>
  <si>
    <t>Max Value</t>
  </si>
  <si>
    <t>Over 25,000,000,000</t>
  </si>
  <si>
    <t>C-3 Market Risk</t>
  </si>
  <si>
    <t>C-4</t>
  </si>
  <si>
    <t>Life &amp; Annuity Premium</t>
  </si>
  <si>
    <t>Health Premium</t>
  </si>
  <si>
    <t>Separate Account Liabilities</t>
  </si>
  <si>
    <t>Corporate Income Tax</t>
  </si>
  <si>
    <t>Authorized Control Level Risk-Based Capital</t>
  </si>
  <si>
    <t>Solvency II</t>
  </si>
  <si>
    <t>Interest Rate Risk</t>
  </si>
  <si>
    <t>Maturity in Years</t>
  </si>
  <si>
    <t>Increases</t>
  </si>
  <si>
    <t>Decreases</t>
  </si>
  <si>
    <t>A = 0.5 if Up and 0 if Down</t>
  </si>
  <si>
    <t xml:space="preserve">A = </t>
  </si>
  <si>
    <t>Stress Test Scenarios, Base Case*</t>
  </si>
  <si>
    <t>Annuity-20% Mort</t>
  </si>
  <si>
    <t>Life Reserve +15% Mort</t>
  </si>
  <si>
    <t>Risk</t>
  </si>
  <si>
    <t>Interest Rate</t>
  </si>
  <si>
    <t>Equity</t>
  </si>
  <si>
    <t>Property</t>
  </si>
  <si>
    <t>Spread</t>
  </si>
  <si>
    <t>Concentration</t>
  </si>
  <si>
    <t>Currency</t>
  </si>
  <si>
    <t>Annuity Interest Up</t>
  </si>
  <si>
    <t>Life Interest Up</t>
  </si>
  <si>
    <t>A</t>
  </si>
  <si>
    <t>Annuity Interest Down</t>
  </si>
  <si>
    <t>Life Interest Down</t>
  </si>
  <si>
    <t>Total Interest Down</t>
  </si>
  <si>
    <t>Total Interest Up</t>
  </si>
  <si>
    <t>MktVal (-15% mort)</t>
  </si>
  <si>
    <t>MktVal (+20% mort)</t>
  </si>
  <si>
    <t>-</t>
  </si>
  <si>
    <t>*Stress tests of +20% and -15% mortality are prescribed by regulation</t>
  </si>
  <si>
    <t>Stress Test Scenarios, Change in Liabilities*</t>
  </si>
  <si>
    <t>Mortality</t>
  </si>
  <si>
    <t>Longevity</t>
  </si>
  <si>
    <t>Disability/Morbidity</t>
  </si>
  <si>
    <t>Lapse</t>
  </si>
  <si>
    <t>Expenses</t>
  </si>
  <si>
    <t>Revision</t>
  </si>
  <si>
    <t>CAT</t>
  </si>
  <si>
    <t>Core Ratio Factor</t>
  </si>
  <si>
    <t>Base Solvency Buffer Scalar</t>
  </si>
  <si>
    <t>Minimum Available Capital</t>
  </si>
  <si>
    <t>Base Scenario</t>
  </si>
  <si>
    <t>Riskier Assets</t>
  </si>
  <si>
    <t>Change Liability Mix</t>
  </si>
  <si>
    <t>Mortality Risk</t>
  </si>
  <si>
    <t>Longevity Risk</t>
  </si>
  <si>
    <t>Lapse and Policyholder Behaviour Risk</t>
  </si>
  <si>
    <t>Expense Risk</t>
  </si>
  <si>
    <t>Retained Earnings</t>
  </si>
  <si>
    <t>Other Annuity Risk</t>
  </si>
  <si>
    <t>Other Life Risk</t>
  </si>
  <si>
    <t>Credit Risk</t>
  </si>
  <si>
    <t>Rating Category</t>
  </si>
  <si>
    <t>Effective Maturity In Years</t>
  </si>
  <si>
    <t>AAA</t>
  </si>
  <si>
    <t>AA</t>
  </si>
  <si>
    <t>BBB</t>
  </si>
  <si>
    <t>BB</t>
  </si>
  <si>
    <t>B</t>
  </si>
  <si>
    <t>Lower than B</t>
  </si>
  <si>
    <t>Assume no off-balance sheet activities</t>
  </si>
  <si>
    <t>Common Equity</t>
  </si>
  <si>
    <t>Developed Markets, listed and non-substantial</t>
  </si>
  <si>
    <t>Developed Markets, non-listed and/or substantial</t>
  </si>
  <si>
    <t>Other Markets, listed and non-substantial</t>
  </si>
  <si>
    <t>Other Markets, non-listed and/or substantial</t>
  </si>
  <si>
    <t>Capital charge  % of Property's Balance Sheet Value if fair value unavailable</t>
  </si>
  <si>
    <t>Operational Risk</t>
  </si>
  <si>
    <t>Business Volume Required Capital</t>
  </si>
  <si>
    <t>Exposure</t>
  </si>
  <si>
    <t>Direct written premiums</t>
  </si>
  <si>
    <t>Assumed reinsurance premiums</t>
  </si>
  <si>
    <t>Investment-type products and annuities</t>
  </si>
  <si>
    <t>Segregated funds with guarantees (account values)</t>
  </si>
  <si>
    <t>Liabilities for annuities in payout period, and annuity liability equivalents for longevity risk transfer arrangements</t>
  </si>
  <si>
    <t>Universal life account values</t>
  </si>
  <si>
    <t>Account values of mutual funds, GICs, other investment-type products and segregated funds without guarantees, and liabilities for annuities in accumulation period</t>
  </si>
  <si>
    <t>General Required Capital</t>
  </si>
  <si>
    <t>Required Capital for Credit, Insurance and Market Risks</t>
  </si>
  <si>
    <t>Required Capital for Segregated Fund Guarantees</t>
  </si>
  <si>
    <t>Ceded Reinsurance Premiums</t>
  </si>
  <si>
    <t>BSCR Rating</t>
  </si>
  <si>
    <t>Corporate &amp; Sovereign Bonds &amp; Bond Mutual Funds</t>
  </si>
  <si>
    <t>Residential Mortgage-Backed Securities</t>
  </si>
  <si>
    <t>Commerical Mortgage-Backed Securities</t>
  </si>
  <si>
    <t>N/A</t>
  </si>
  <si>
    <t>Type 4 Equity Holdings</t>
  </si>
  <si>
    <t>Equity Real Estate 1</t>
  </si>
  <si>
    <t>Long Term Insurance Risk</t>
  </si>
  <si>
    <t>Mortality (per $1,000 NAR)</t>
  </si>
  <si>
    <t>Adjustable Product/Treaty</t>
  </si>
  <si>
    <t>Non-adjustable Product/Treaty</t>
  </si>
  <si>
    <t xml:space="preserve">Longevity (immediate pay-out annuities, contingent annuities, pension pay-outs) </t>
  </si>
  <si>
    <t>Attained age of annuitant</t>
  </si>
  <si>
    <t>% BSCR Adjusted Reserve</t>
  </si>
  <si>
    <t>(a) 0 - 55</t>
  </si>
  <si>
    <t>(b) 56 - 60</t>
  </si>
  <si>
    <t>(c) 61 - 65</t>
  </si>
  <si>
    <t>(d) 66 - 70</t>
  </si>
  <si>
    <t>(e) 71 - 75</t>
  </si>
  <si>
    <t>(f) 76+</t>
  </si>
  <si>
    <r>
      <t>C</t>
    </r>
    <r>
      <rPr>
        <b/>
        <vertAlign val="subscript"/>
        <sz val="7"/>
        <color rgb="FFFFFFFF"/>
        <rFont val="Calibri"/>
        <family val="2"/>
      </rPr>
      <t>Market</t>
    </r>
    <r>
      <rPr>
        <b/>
        <sz val="7"/>
        <color rgb="FFFFFFFF"/>
        <rFont val="Calibri"/>
        <family val="2"/>
      </rPr>
      <t> </t>
    </r>
  </si>
  <si>
    <r>
      <t>C</t>
    </r>
    <r>
      <rPr>
        <b/>
        <vertAlign val="subscript"/>
        <sz val="7"/>
        <color rgb="FFFFFFFF"/>
        <rFont val="Calibri"/>
        <family val="2"/>
      </rPr>
      <t>P&amp;C</t>
    </r>
    <r>
      <rPr>
        <b/>
        <sz val="7"/>
        <color rgb="FFFFFFFF"/>
        <rFont val="Calibri"/>
        <family val="2"/>
      </rPr>
      <t> </t>
    </r>
  </si>
  <si>
    <r>
      <t>C</t>
    </r>
    <r>
      <rPr>
        <b/>
        <vertAlign val="subscript"/>
        <sz val="7"/>
        <color rgb="FFFFFFFF"/>
        <rFont val="Calibri"/>
        <family val="2"/>
      </rPr>
      <t>LT</t>
    </r>
    <r>
      <rPr>
        <b/>
        <sz val="7"/>
        <color rgb="FFFFFFFF"/>
        <rFont val="Calibri"/>
        <family val="2"/>
      </rPr>
      <t> </t>
    </r>
  </si>
  <si>
    <r>
      <t>C</t>
    </r>
    <r>
      <rPr>
        <b/>
        <vertAlign val="subscript"/>
        <sz val="7"/>
        <color rgb="FFFFFFFF"/>
        <rFont val="Calibri"/>
        <family val="2"/>
      </rPr>
      <t>Credit</t>
    </r>
    <r>
      <rPr>
        <b/>
        <sz val="7"/>
        <color rgb="FFFFFFFF"/>
        <rFont val="Calibri"/>
        <family val="2"/>
      </rPr>
      <t> </t>
    </r>
  </si>
  <si>
    <r>
      <t>C</t>
    </r>
    <r>
      <rPr>
        <vertAlign val="subscript"/>
        <sz val="9"/>
        <color rgb="FF000000"/>
        <rFont val="Calibri Light"/>
        <family val="2"/>
      </rPr>
      <t>Market </t>
    </r>
  </si>
  <si>
    <r>
      <t>C</t>
    </r>
    <r>
      <rPr>
        <vertAlign val="subscript"/>
        <sz val="9"/>
        <color rgb="FF000000"/>
        <rFont val="Calibri Light"/>
        <family val="2"/>
      </rPr>
      <t>P&amp;C </t>
    </r>
  </si>
  <si>
    <r>
      <t>C</t>
    </r>
    <r>
      <rPr>
        <vertAlign val="subscript"/>
        <sz val="9"/>
        <color rgb="FF000000"/>
        <rFont val="Calibri Light"/>
        <family val="2"/>
      </rPr>
      <t>LT </t>
    </r>
  </si>
  <si>
    <r>
      <t>C</t>
    </r>
    <r>
      <rPr>
        <vertAlign val="subscript"/>
        <sz val="9"/>
        <color rgb="FF000000"/>
        <rFont val="Calibri Light"/>
        <family val="2"/>
      </rPr>
      <t>Credit </t>
    </r>
  </si>
  <si>
    <r>
      <t>C</t>
    </r>
    <r>
      <rPr>
        <vertAlign val="subscript"/>
        <sz val="8"/>
        <color rgb="FF000000"/>
        <rFont val="Calibri Light"/>
        <family val="2"/>
      </rPr>
      <t>fixedIncome</t>
    </r>
    <r>
      <rPr>
        <sz val="8"/>
        <color rgb="FF000000"/>
        <rFont val="Calibri Light"/>
        <family val="2"/>
      </rPr>
      <t> </t>
    </r>
  </si>
  <si>
    <r>
      <t>C</t>
    </r>
    <r>
      <rPr>
        <vertAlign val="subscript"/>
        <sz val="8"/>
        <color rgb="FF000000"/>
        <rFont val="Calibri Light"/>
        <family val="2"/>
      </rPr>
      <t>equity</t>
    </r>
    <r>
      <rPr>
        <sz val="8"/>
        <color rgb="FF000000"/>
        <rFont val="Calibri Light"/>
        <family val="2"/>
      </rPr>
      <t> </t>
    </r>
  </si>
  <si>
    <r>
      <t>C</t>
    </r>
    <r>
      <rPr>
        <vertAlign val="subscript"/>
        <sz val="8"/>
        <color rgb="FF000000"/>
        <rFont val="Calibri Light"/>
        <family val="2"/>
      </rPr>
      <t>interest</t>
    </r>
    <r>
      <rPr>
        <sz val="8"/>
        <color rgb="FF000000"/>
        <rFont val="Calibri Light"/>
        <family val="2"/>
      </rPr>
      <t> </t>
    </r>
  </si>
  <si>
    <r>
      <t>C</t>
    </r>
    <r>
      <rPr>
        <vertAlign val="subscript"/>
        <sz val="8"/>
        <color rgb="FF000000"/>
        <rFont val="Calibri Light"/>
        <family val="2"/>
      </rPr>
      <t>currency</t>
    </r>
    <r>
      <rPr>
        <sz val="8"/>
        <color rgb="FF000000"/>
        <rFont val="Calibri Light"/>
        <family val="2"/>
      </rPr>
      <t> </t>
    </r>
  </si>
  <si>
    <r>
      <t>C</t>
    </r>
    <r>
      <rPr>
        <vertAlign val="subscript"/>
        <sz val="8"/>
        <color rgb="FF000000"/>
        <rFont val="Calibri Light"/>
        <family val="2"/>
      </rPr>
      <t>concentration</t>
    </r>
    <r>
      <rPr>
        <sz val="8"/>
        <color rgb="FF000000"/>
        <rFont val="Calibri Light"/>
        <family val="2"/>
      </rPr>
      <t> </t>
    </r>
  </si>
  <si>
    <t>Inputs - Asset Assumptions</t>
  </si>
  <si>
    <t>Affiliated US Life Insurers Directly Owned</t>
  </si>
  <si>
    <t>Riskier Asset Scenario</t>
  </si>
  <si>
    <t>Book Value</t>
  </si>
  <si>
    <t>Market Value</t>
  </si>
  <si>
    <t>Duration (in years)</t>
  </si>
  <si>
    <t>Percent Mix</t>
  </si>
  <si>
    <t>Fixed Income 1</t>
  </si>
  <si>
    <t>Fixed Income 2</t>
  </si>
  <si>
    <t>real estate counts as property and MKTprop = max(delta NAV, given property shock ; 0) immediate effect on net value of asset and liab if instant decrease of 25% in value of investments in real estate</t>
  </si>
  <si>
    <t>Equity (Stocks in OECD or EEA countries)</t>
  </si>
  <si>
    <t>Equity (Stocks in emerging markets)</t>
  </si>
  <si>
    <t>Interest Rate Shock Up/Down</t>
  </si>
  <si>
    <t>Interest Up Scenario</t>
  </si>
  <si>
    <t>Interest Down Scenario</t>
  </si>
  <si>
    <t>Market Value Interest Up</t>
  </si>
  <si>
    <t>Multiplier Up</t>
  </si>
  <si>
    <t>Total Up</t>
  </si>
  <si>
    <t>Market Value Interest Rate Down</t>
  </si>
  <si>
    <t>Multiplier Down</t>
  </si>
  <si>
    <t>Total Down</t>
  </si>
  <si>
    <t>Inputs - Liabilities</t>
  </si>
  <si>
    <t>Attained Age</t>
  </si>
  <si>
    <t>Face Amount</t>
  </si>
  <si>
    <t>Separate Account Reserves</t>
  </si>
  <si>
    <t>Premium</t>
  </si>
  <si>
    <t>Net Amount At Risk</t>
  </si>
  <si>
    <t>Asset Valuation Reserve</t>
  </si>
  <si>
    <t>Dividends Apportioned for Payment</t>
  </si>
  <si>
    <t>Dividends Not Yet Apportioned</t>
  </si>
  <si>
    <t>Hedging Fair Value Adjustment</t>
  </si>
  <si>
    <t>Change Mix of Liabilities</t>
  </si>
  <si>
    <t>Life Reserve</t>
  </si>
  <si>
    <t>European Solvency II Calculation</t>
  </si>
  <si>
    <t>Risky Assets</t>
  </si>
  <si>
    <t xml:space="preserve">Solvency Capital Requirement </t>
  </si>
  <si>
    <t>Solvency Capital Requirement (Market)</t>
  </si>
  <si>
    <t>Solvency Capital Requirement (Interest Rate)</t>
  </si>
  <si>
    <t>Solvency Capital Requirement (Equity)</t>
  </si>
  <si>
    <t>Solvency Capital Requirement (Property)</t>
  </si>
  <si>
    <t>Solvency Capital Requirement (Spread)</t>
  </si>
  <si>
    <t>Solvency Capital Requirement (Concentration)</t>
  </si>
  <si>
    <t>Solvency Capital Requirement (Currency)</t>
  </si>
  <si>
    <t>Interest Rate Scenario Up or Down</t>
  </si>
  <si>
    <t>Solvency Capital Requirement (Life)</t>
  </si>
  <si>
    <t>Solvency Capital Requirement (Mortality)</t>
  </si>
  <si>
    <t>Solvency Capital Requirement (Longevity)</t>
  </si>
  <si>
    <t>Solvency Capital Requirement (Disability/Morbidity)</t>
  </si>
  <si>
    <t>Solvency Capital Requirement (Lapse)</t>
  </si>
  <si>
    <t>Solvency Capital Requirement (Expenses)</t>
  </si>
  <si>
    <t>Solvency Capital Requirement (Revision)</t>
  </si>
  <si>
    <t>Solvency Capital Requirement (CAT)</t>
  </si>
  <si>
    <t>Balance Sheet</t>
  </si>
  <si>
    <t>Duration</t>
  </si>
  <si>
    <t>Total Assets</t>
  </si>
  <si>
    <t>Best Estimate of Liabilities (BEL)</t>
  </si>
  <si>
    <t xml:space="preserve">Capital </t>
  </si>
  <si>
    <t>Solvency Ratio</t>
  </si>
  <si>
    <t>Base</t>
  </si>
  <si>
    <t>Pre-Tax</t>
  </si>
  <si>
    <t>Tax</t>
  </si>
  <si>
    <t xml:space="preserve">Post-Tax </t>
  </si>
  <si>
    <t>Explanations</t>
  </si>
  <si>
    <t>Net (C-0) - Asset Risk - Affiliated Amounts</t>
  </si>
  <si>
    <t xml:space="preserve">Net (C-1cs)  - Asset Risk – Unaffiliated Common Stock </t>
  </si>
  <si>
    <t>Net (C-1o) - Asset Risk - All Other</t>
  </si>
  <si>
    <t xml:space="preserve">Net (C-2) - Insurance Risk </t>
  </si>
  <si>
    <t>Net (C-3a) - Interest Rate Risk</t>
  </si>
  <si>
    <t>Net (C-3b) - Health Credit Risk</t>
  </si>
  <si>
    <t>Net (C-3c) - Market Risk</t>
  </si>
  <si>
    <t>Net (C-4a) - Premium</t>
  </si>
  <si>
    <t>Net (C-4a) - Liability</t>
  </si>
  <si>
    <t>Net (C-4a) - Business Risk</t>
  </si>
  <si>
    <t>Net (C-4b) - Health Administrative Expense Business Risk</t>
  </si>
  <si>
    <t>Total Risk-Based Capital After Covariance</t>
  </si>
  <si>
    <t>This is the minimum amount of capital that a U.S. insurer is required to hold.</t>
  </si>
  <si>
    <t>Total Adjusted Capital</t>
  </si>
  <si>
    <t>Capital and Surplus</t>
  </si>
  <si>
    <t>Dividends Apportioned for Payment - Adjusted</t>
  </si>
  <si>
    <t>Total Adjusted Capital Before Capital Notes</t>
  </si>
  <si>
    <t>This is the amount of capital that the U.S. insurer for this example is actually holding.</t>
  </si>
  <si>
    <t>RBC Ratio</t>
  </si>
  <si>
    <t>Reserves</t>
  </si>
  <si>
    <t>Dividend Liability</t>
  </si>
  <si>
    <t>Total Liabilities</t>
  </si>
  <si>
    <t>Surplus</t>
  </si>
  <si>
    <t>Required</t>
  </si>
  <si>
    <t>Free</t>
  </si>
  <si>
    <t>Total Surplus</t>
  </si>
  <si>
    <t>Canadian LICAT Calculation</t>
  </si>
  <si>
    <t>Aggregate Capital Requirement</t>
  </si>
  <si>
    <t>Geographic Region</t>
  </si>
  <si>
    <t>United Kingdom</t>
  </si>
  <si>
    <t>Europe other than the United Kingdom</t>
  </si>
  <si>
    <t>Japan</t>
  </si>
  <si>
    <t>Other</t>
  </si>
  <si>
    <t>Assume business is only in Canada</t>
  </si>
  <si>
    <t>Assume there is no Deferred Tax Assets and off-balance sheet activities. Assumed the mortgages are AA 10-year.</t>
  </si>
  <si>
    <t>Market Risk</t>
  </si>
  <si>
    <t>No preferred shares or convertible bonds</t>
  </si>
  <si>
    <t>Assume the same as European Interest Rate Risk</t>
  </si>
  <si>
    <t>Equity Risk</t>
  </si>
  <si>
    <t>Real Estate Risk</t>
  </si>
  <si>
    <t>Mutual Funds</t>
  </si>
  <si>
    <t>Assume no Mutual Funds</t>
  </si>
  <si>
    <t>Index-linked Products Risk</t>
  </si>
  <si>
    <t>Assume no Index-linked Products risk</t>
  </si>
  <si>
    <t>Currency Risk</t>
  </si>
  <si>
    <t>Assume no Currency risk</t>
  </si>
  <si>
    <t>Unregistered reinsurance</t>
  </si>
  <si>
    <t>Assume no Unregistered reinsurance</t>
  </si>
  <si>
    <t xml:space="preserve">Foreign exchange de minimus criteria </t>
  </si>
  <si>
    <t xml:space="preserve">Assume no Foreign exchange de minimus criteria </t>
  </si>
  <si>
    <t>Insurance Risk</t>
  </si>
  <si>
    <t>Morbidity Risk</t>
  </si>
  <si>
    <t>Assume Lapse risk on Life Product as it is Term. Annuity product is Payout Annuity and will not have any lapse risk</t>
  </si>
  <si>
    <t>Segregated Funds Guarantee Risk</t>
  </si>
  <si>
    <t>Assume no guaranteed minimum death and maturity benefits offered for segregated fund guaranteed products</t>
  </si>
  <si>
    <t>Large Increase in business volume required capital</t>
  </si>
  <si>
    <t>Assume no segregated fund guarantees and no reinsurance</t>
  </si>
  <si>
    <t>General required capital</t>
  </si>
  <si>
    <t>Sub-Total</t>
  </si>
  <si>
    <t>Credits</t>
  </si>
  <si>
    <t>Qualifying in-force participating and adjustable products</t>
  </si>
  <si>
    <t>Risk Diversification</t>
  </si>
  <si>
    <t>Credit Sub-Total</t>
  </si>
  <si>
    <t>Tier 1</t>
  </si>
  <si>
    <t>Common shares issued by the insurer, other than those issued by consolidated subsidiaries and held by third party investors</t>
  </si>
  <si>
    <t>Assume no common shares</t>
  </si>
  <si>
    <t>Tier 1 Capital Instruments other than Common Shares issued by the insurer, other than those issued by consolidated subsidiaries and held by third party investors</t>
  </si>
  <si>
    <t>Assume to be zero</t>
  </si>
  <si>
    <t>Instruments issued by consolidated subsidiaries of the insurer and held by third party investors</t>
  </si>
  <si>
    <t>Assume no subsidiaries</t>
  </si>
  <si>
    <t>Contributed Surplus</t>
  </si>
  <si>
    <t>Adjusted Retained Earnings</t>
  </si>
  <si>
    <t>Assumption</t>
  </si>
  <si>
    <t>Adjusted Accumulated Other Comprehensive Income (AOCI)</t>
  </si>
  <si>
    <t>Assume no AOCI</t>
  </si>
  <si>
    <t>Participating Account</t>
  </si>
  <si>
    <t xml:space="preserve">Assume this is zero since the products sold by the Company are Term or Annuity and are not participating. </t>
  </si>
  <si>
    <t>Non-participating account (mutual companies)</t>
  </si>
  <si>
    <t>Assume this is a public company</t>
  </si>
  <si>
    <t>Tier 1 elements, other than capital instruments, attributable to non-controlling interests</t>
  </si>
  <si>
    <t>Tax adjustments and amounts recoverable on surrender related to policy-by-policy negative reserves ceded under unregistered reinsurance .</t>
  </si>
  <si>
    <t>Gross Tier 1 Capital</t>
  </si>
  <si>
    <t>Deductions from Gross Tier 1 Capital</t>
  </si>
  <si>
    <t>Assume no Tier 1 Deductions</t>
  </si>
  <si>
    <t>Goodwill and Other Intangible Assets</t>
  </si>
  <si>
    <t>Investments in own Tier 1 Capital</t>
  </si>
  <si>
    <t>Reciprocal Cross Holdings of Tier 1 Capital of banking, insurance</t>
  </si>
  <si>
    <t>Net Defined Benefit Pension Plan Assets</t>
  </si>
  <si>
    <t>Deferred Tax Assets</t>
  </si>
  <si>
    <t>Encumbered Assets</t>
  </si>
  <si>
    <t>Investments in Tier 1 Capital of controlled non-life financial corporations</t>
  </si>
  <si>
    <t>Cash surrender value deficiencies calculated by aggregated sets</t>
  </si>
  <si>
    <t>Negative reserves and deferred acquisition costs calculated policy-by-policy</t>
  </si>
  <si>
    <t>Commission chargebacks</t>
  </si>
  <si>
    <t>Marginal insurance risk requirements</t>
  </si>
  <si>
    <t>Other Items deducted from Gross Tier 1</t>
  </si>
  <si>
    <t>Net Tier 1 Capital</t>
  </si>
  <si>
    <t>Tier 2</t>
  </si>
  <si>
    <t>Assume no Tier 2 Capital</t>
  </si>
  <si>
    <t>Tier 2 Capital instruments issued by the insurer, other than those issued by consolidated subsidiaries and held by third party investors</t>
  </si>
  <si>
    <t>Tier 2 Capital instruments issued by consolidated subsidiaries and held by third party investors</t>
  </si>
  <si>
    <t>Tier 2 Capital elements other than capital instruments</t>
  </si>
  <si>
    <t>Total Tier 2</t>
  </si>
  <si>
    <t>Available Capital</t>
  </si>
  <si>
    <t>Maximum of Tier 1 + Tier 2 capital or $5M</t>
  </si>
  <si>
    <t>Eligible Deposits</t>
  </si>
  <si>
    <t>Total Ratio</t>
  </si>
  <si>
    <t>Total Ratio focuses on policyholder and creditor protection. Required to maintain a Total Ratio of 90% at minimum</t>
  </si>
  <si>
    <t>Core Ratio</t>
  </si>
  <si>
    <t>Core Ratio focuses on financial strength. Required to maintain a Core Ratio of 55% at minimum</t>
  </si>
  <si>
    <t>Bermuda Insurance Solvency Framework Calculation</t>
  </si>
  <si>
    <t>Basic BSCR = Basic BSCR Risk Module charge </t>
  </si>
  <si>
    <t>Basic BSCR </t>
  </si>
  <si>
    <t>Sum of Risks</t>
  </si>
  <si>
    <t>Fixed Income Investment Risk</t>
  </si>
  <si>
    <t>Equity Investment Risk</t>
  </si>
  <si>
    <t>Interest Rate and Liquidity Risk</t>
  </si>
  <si>
    <t>Concentration Risk</t>
  </si>
  <si>
    <t>P&amp;C Risk</t>
  </si>
  <si>
    <t>Stop Loss Risk</t>
  </si>
  <si>
    <t>Rider Risk</t>
  </si>
  <si>
    <t>Variable Annuity Risk</t>
  </si>
  <si>
    <t>Long Term Other Insurance Risk</t>
  </si>
  <si>
    <t>Annuities</t>
  </si>
  <si>
    <t>Summary of Results by Jurisdiction</t>
  </si>
  <si>
    <t>Capital</t>
  </si>
  <si>
    <t>Jurisdiction</t>
  </si>
  <si>
    <t>Capital Requirement Method</t>
  </si>
  <si>
    <t xml:space="preserve">Adjusted </t>
  </si>
  <si>
    <t>Ratio</t>
  </si>
  <si>
    <r>
      <t>Ratio</t>
    </r>
    <r>
      <rPr>
        <b/>
        <vertAlign val="superscript"/>
        <sz val="11"/>
        <color theme="1"/>
        <rFont val="Calibri"/>
        <family val="2"/>
        <scheme val="minor"/>
      </rPr>
      <t>1</t>
    </r>
  </si>
  <si>
    <t>Action</t>
  </si>
  <si>
    <t>RBC</t>
  </si>
  <si>
    <t>LICAT</t>
  </si>
  <si>
    <t>TCL</t>
  </si>
  <si>
    <t>Different Liabilities</t>
  </si>
  <si>
    <t>Capital Requirements by Jurisdiction</t>
  </si>
  <si>
    <t>Country and Ratio</t>
  </si>
  <si>
    <t>Required Action</t>
  </si>
  <si>
    <t>Minimum Required Level</t>
  </si>
  <si>
    <t>Early Intervention Process</t>
  </si>
  <si>
    <t>Mandatory Control Level</t>
  </si>
  <si>
    <t>Requires regulator to put Company under regulatory control</t>
  </si>
  <si>
    <t>Authorized Control Level</t>
  </si>
  <si>
    <t>Authorizes regulator to take actions necessary to protect stakeholders</t>
  </si>
  <si>
    <t>Regulator Action Level</t>
  </si>
  <si>
    <t>Company must submit (or revise) RBC plan and regulator will issue an order of corrective action</t>
  </si>
  <si>
    <t>Company Action Level</t>
  </si>
  <si>
    <t>Company must prepare and submit RBC plan to regulator</t>
  </si>
  <si>
    <t>Trend Test Corridor</t>
  </si>
  <si>
    <t>Company must perform trend test</t>
  </si>
  <si>
    <t>Increasingly severe prescribed supervisory actions will be taken as capital decreases toward 25%</t>
  </si>
  <si>
    <t>Below this level, the Company must improve its capital position and faces wind-up of business</t>
  </si>
  <si>
    <t>Mortality Tables</t>
  </si>
  <si>
    <t>Mortality Table Source:</t>
  </si>
  <si>
    <t>Simple average of male and female RP 2014 mortality tables (all lives)</t>
  </si>
  <si>
    <t>Stress</t>
  </si>
  <si>
    <t>Age</t>
  </si>
  <si>
    <t>Mortality Up</t>
  </si>
  <si>
    <t>Mortality Down</t>
  </si>
  <si>
    <t>Px</t>
  </si>
  <si>
    <t>Life Expectancy</t>
  </si>
  <si>
    <t>lx</t>
  </si>
  <si>
    <t>dx</t>
  </si>
  <si>
    <t>Lx</t>
  </si>
  <si>
    <t>Tx</t>
  </si>
  <si>
    <t>Below this level, Company loses its authorization to operate</t>
  </si>
  <si>
    <t>Below this level, the OSFI may temporarily place the company under regulatory control.</t>
  </si>
  <si>
    <t>OSFI may impose business restrictions as necessary and/or issue directions of compliance</t>
  </si>
  <si>
    <t>Company must submit a remediation plan and provide additional reporting for enhanced monitoring</t>
  </si>
  <si>
    <r>
      <rPr>
        <vertAlign val="superscript"/>
        <sz val="9"/>
        <color theme="1"/>
        <rFont val="Calibri"/>
        <family val="2"/>
        <scheme val="minor"/>
      </rPr>
      <t>1</t>
    </r>
    <r>
      <rPr>
        <sz val="9"/>
        <color theme="1"/>
        <rFont val="Calibri"/>
        <family val="2"/>
        <scheme val="minor"/>
      </rPr>
      <t xml:space="preserve"> For Canada, the Capital Ratio is actually the Core Ratio.</t>
    </r>
  </si>
  <si>
    <t>Available Economic Capital and Surplus</t>
  </si>
  <si>
    <t>ECR Ratio &lt; 100%</t>
  </si>
  <si>
    <t>100% &lt;= ECR Ratio &lt; 120%</t>
  </si>
  <si>
    <t>Total Ratio &lt; 70% OR Core Ratio &lt; 55%</t>
  </si>
  <si>
    <t>200% &lt;= RBC Ratio &lt; 250%</t>
  </si>
  <si>
    <t>150% &lt;= RBC Ratio &lt; 200%</t>
  </si>
  <si>
    <t>100% &lt;= RBC Ratio &lt; 150%</t>
  </si>
  <si>
    <t>70% &lt;= RBC Ratio &lt; 100%</t>
  </si>
  <si>
    <t>RBC Ratio &lt; 70%</t>
  </si>
  <si>
    <t>70% &lt;= Total Ratio &lt; 100% OR 55% &lt;= Core Ratio &lt; 90%</t>
  </si>
  <si>
    <t>25% &lt;= Basic SCR Ratio &lt; 45%</t>
  </si>
  <si>
    <t>Basic SCR Ratio &lt; 25%</t>
  </si>
  <si>
    <t/>
  </si>
  <si>
    <t>accepts any liability for its use. It may be used for any personal, research or commercial use provided that the user does not represent it as</t>
  </si>
  <si>
    <t xml:space="preserve">This software is made available free of charge with the understanding that neither the author nor the Society of Actuaries Research Institute </t>
  </si>
  <si>
    <t>Disclaimer</t>
  </si>
  <si>
    <t>Copyright © 2022 Society of Actuaries Research Institute</t>
  </si>
  <si>
    <t>their own work and does not distribute it to others for a fee.</t>
  </si>
  <si>
    <t>The user should be aware that a number of simplifications have been made to this software as it is intended to illustrate the differences in results among the four selected jurisdictions. These simplifications are as follows:</t>
  </si>
  <si>
    <t>General</t>
  </si>
  <si>
    <t>1) The Insurance Company in this example is a Life and Annuity Insurance Company. It assumes there are no non-life and health entities included.</t>
  </si>
  <si>
    <r>
      <t xml:space="preserve">4) </t>
    </r>
    <r>
      <rPr>
        <sz val="13"/>
        <color theme="1"/>
        <rFont val="Calibri"/>
        <family val="2"/>
        <scheme val="minor"/>
      </rPr>
      <t xml:space="preserve">All liabilities were issued in the jurisdiction being modeled, and cross border risk profile differences are zero. </t>
    </r>
  </si>
  <si>
    <t>US Risk-Based Capital (RBC)</t>
  </si>
  <si>
    <t xml:space="preserve">1) Tax Rate is 21% </t>
  </si>
  <si>
    <r>
      <rPr>
        <sz val="13"/>
        <color theme="1"/>
        <rFont val="Calibri"/>
        <family val="2"/>
      </rPr>
      <t>2) Statutory reserves are 15% greater than model reserves for life insurance, and 95% of annuity model reserves.</t>
    </r>
  </si>
  <si>
    <t>3) Book value of bonds is assumed to be 7.5% lower than market value; for all other assets, Book Value equals Market Value</t>
  </si>
  <si>
    <t xml:space="preserve">Canadian Life Insurance Capital Adequacy Test (LICAT) </t>
  </si>
  <si>
    <t>2) The Insurance Company only operates in the juridiction that is being analyzed and assumes it is not a multi-national company. For example, when looking at calculating required capital for the United States (US), then the company only operates in the US. For Canada, the company only operates in Canada, etc.</t>
  </si>
  <si>
    <r>
      <t xml:space="preserve">3) </t>
    </r>
    <r>
      <rPr>
        <sz val="13"/>
        <color theme="1"/>
        <rFont val="Calibri"/>
        <family val="2"/>
      </rPr>
      <t>All assets and liabilities are denominated in the jurisdiction being modeled and assume that currency risk is zero.</t>
    </r>
  </si>
  <si>
    <t>1) There are no Deferred Tax Assets and off-balance sheet activities.</t>
  </si>
  <si>
    <t>2) No preferred shares or convertible bonds</t>
  </si>
  <si>
    <t>12) No Tier 1 deductions</t>
  </si>
  <si>
    <t>- Adjusted Retained Earnings $120,000</t>
  </si>
  <si>
    <t>3) Canadian interest rate risk is the same value as the Solvency II interest rate risk.</t>
  </si>
  <si>
    <t>4) There are no Mutual Funds, Index-Linked product, unregistered reinsurance</t>
  </si>
  <si>
    <t>7) Lapse and Policyholder Behaviour Risk is $10,000</t>
  </si>
  <si>
    <t>9) Assume no guaranteed minimum death and maturity benefits offered for segregated fund guaranteed products</t>
  </si>
  <si>
    <t>10) Assume no segregated fund guarantees and no reinsurance</t>
  </si>
  <si>
    <t>11) The only Tier 1 capital is contributed surplus and adjusted retained earnings.</t>
  </si>
  <si>
    <t>13) No Tier 2 capital</t>
  </si>
  <si>
    <t>14) Surplus Allowance is $1,000,000 and there are no eligible deposits</t>
  </si>
  <si>
    <t>Europe Solvency II</t>
  </si>
  <si>
    <t>1) Asset and liability market values and risk margins will be an input, rather than a calculation.  Liabilities will be input as total technical provisions, without a split between best estimate and risk margin</t>
  </si>
  <si>
    <t>2) Calculation will show the Basic Solvency Capital Requirement using the “standard formula” only, i.e., no internal model and no Minimum Capital Requirement (MCR) calculation (if they want the MCR I don’t think it would be too hard to add it)</t>
  </si>
  <si>
    <t>3) While available capital (“own funds”) will be shown as previously agreed, there will be no classification of own funds by tier (in other words, it will be inherently assumed that all own funds are tier 1 capital)</t>
  </si>
  <si>
    <t>4) Expense component of the SCR will be a fixed input (i.e., it will not be calculated based on the Solvency II rules, since doing so would just require a judgement based input for expense levels anyway)</t>
  </si>
  <si>
    <t>5) Other components of the SCR (mortality, longevity, interest, equity, property, spread) will use the SII   “simplified calculation” (more factor-based than model-based)</t>
  </si>
  <si>
    <t>Bermuda Insurance Solvency</t>
  </si>
  <si>
    <t>3) Interest rate and liquidity risk charge has been set to 1% of total assets</t>
  </si>
  <si>
    <t>4) Capital charge for credit risk is assumed to be $100,000</t>
  </si>
  <si>
    <t>1) Adjustment for the loss absorbing capacity of technical provisions and adjustment for the loss absorbing capital of deferred taxes are assumed to zero</t>
  </si>
  <si>
    <t>Contents</t>
  </si>
  <si>
    <t>US Risk-Based Capital (RBC) Factors</t>
  </si>
  <si>
    <t>US</t>
  </si>
  <si>
    <t>This worksheet calculates the Minimum Required Capital, Total Adjusted Capital, Risk-Based Capital (RBC) Ratio and Statutory Balance Sheet for the United States (US) jurisdiction.</t>
  </si>
  <si>
    <t>SOA Research Institute</t>
  </si>
  <si>
    <t xml:space="preserve">Equity Factor </t>
  </si>
  <si>
    <r>
      <t>BSCR</t>
    </r>
    <r>
      <rPr>
        <vertAlign val="subscript"/>
        <sz val="8"/>
        <rFont val="Calibri"/>
        <family val="2"/>
        <scheme val="minor"/>
      </rPr>
      <t>corr</t>
    </r>
    <r>
      <rPr>
        <sz val="10"/>
        <rFont val="Calibri"/>
        <family val="2"/>
        <scheme val="minor"/>
      </rPr>
      <t xml:space="preserve"> = Basic BCSR + C</t>
    </r>
    <r>
      <rPr>
        <vertAlign val="subscript"/>
        <sz val="8"/>
        <rFont val="Calibri"/>
        <family val="2"/>
        <scheme val="minor"/>
      </rPr>
      <t>operational</t>
    </r>
    <r>
      <rPr>
        <sz val="10"/>
        <rFont val="Calibri"/>
        <family val="2"/>
        <scheme val="minor"/>
      </rPr>
      <t xml:space="preserve"> + C</t>
    </r>
    <r>
      <rPr>
        <vertAlign val="subscript"/>
        <sz val="8"/>
        <rFont val="Calibri"/>
        <family val="2"/>
        <scheme val="minor"/>
      </rPr>
      <t>regulatory adj</t>
    </r>
    <r>
      <rPr>
        <sz val="10"/>
        <rFont val="Calibri"/>
        <family val="2"/>
        <scheme val="minor"/>
      </rPr>
      <t xml:space="preserve"> +C</t>
    </r>
    <r>
      <rPr>
        <vertAlign val="subscript"/>
        <sz val="8"/>
        <rFont val="Calibri"/>
        <family val="2"/>
        <scheme val="minor"/>
      </rPr>
      <t>other adj</t>
    </r>
    <r>
      <rPr>
        <sz val="10"/>
        <rFont val="Calibri"/>
        <family val="2"/>
        <scheme val="minor"/>
      </rPr>
      <t xml:space="preserve"> +C</t>
    </r>
    <r>
      <rPr>
        <vertAlign val="subscript"/>
        <sz val="8"/>
        <rFont val="Calibri"/>
        <family val="2"/>
        <scheme val="minor"/>
      </rPr>
      <t>AdjTP</t>
    </r>
    <r>
      <rPr>
        <sz val="8"/>
        <rFont val="Calibri"/>
        <family val="2"/>
        <scheme val="minor"/>
      </rPr>
      <t> </t>
    </r>
  </si>
  <si>
    <r>
      <t>C</t>
    </r>
    <r>
      <rPr>
        <vertAlign val="subscript"/>
        <sz val="8"/>
        <rFont val="Calibri"/>
        <family val="2"/>
        <scheme val="minor"/>
      </rPr>
      <t>operational</t>
    </r>
    <r>
      <rPr>
        <sz val="10"/>
        <rFont val="Calibri"/>
        <family val="2"/>
        <scheme val="minor"/>
      </rPr>
      <t>  = operational risk charge </t>
    </r>
  </si>
  <si>
    <r>
      <t>C</t>
    </r>
    <r>
      <rPr>
        <vertAlign val="subscript"/>
        <sz val="8"/>
        <rFont val="Calibri"/>
        <family val="2"/>
        <scheme val="minor"/>
      </rPr>
      <t>regulatory adj</t>
    </r>
    <r>
      <rPr>
        <sz val="10"/>
        <rFont val="Calibri"/>
        <family val="2"/>
        <scheme val="minor"/>
      </rPr>
      <t xml:space="preserve"> = regulatory capital requirement for non-insurance financial operating entities </t>
    </r>
  </si>
  <si>
    <r>
      <t>C</t>
    </r>
    <r>
      <rPr>
        <vertAlign val="subscript"/>
        <sz val="8"/>
        <rFont val="Calibri"/>
        <family val="2"/>
        <scheme val="minor"/>
      </rPr>
      <t>other adj</t>
    </r>
    <r>
      <rPr>
        <sz val="10"/>
        <rFont val="Calibri"/>
        <family val="2"/>
        <scheme val="minor"/>
      </rPr>
      <t xml:space="preserve"> = adjustment for the loss absorbing capacity of technical provisions </t>
    </r>
  </si>
  <si>
    <r>
      <t>C</t>
    </r>
    <r>
      <rPr>
        <vertAlign val="subscript"/>
        <sz val="8"/>
        <rFont val="Calibri"/>
        <family val="2"/>
        <scheme val="minor"/>
      </rPr>
      <t>AdjTP</t>
    </r>
    <r>
      <rPr>
        <sz val="10"/>
        <rFont val="Calibri"/>
        <family val="2"/>
        <scheme val="minor"/>
      </rPr>
      <t xml:space="preserve"> = adjustment for the loss absorbing capital of deferred taxes </t>
    </r>
  </si>
  <si>
    <r>
      <t>C</t>
    </r>
    <r>
      <rPr>
        <vertAlign val="subscript"/>
        <sz val="8"/>
        <rFont val="Calibri"/>
        <family val="2"/>
        <scheme val="minor"/>
      </rPr>
      <t>Market</t>
    </r>
    <r>
      <rPr>
        <sz val="10"/>
        <rFont val="Calibri"/>
        <family val="2"/>
        <scheme val="minor"/>
      </rPr>
      <t xml:space="preserve"> = capital charge for Market Risk </t>
    </r>
  </si>
  <si>
    <r>
      <t>C</t>
    </r>
    <r>
      <rPr>
        <vertAlign val="subscript"/>
        <sz val="8"/>
        <rFont val="Calibri"/>
        <family val="2"/>
        <scheme val="minor"/>
      </rPr>
      <t>P&amp;C</t>
    </r>
    <r>
      <rPr>
        <sz val="10"/>
        <rFont val="Calibri"/>
        <family val="2"/>
        <scheme val="minor"/>
      </rPr>
      <t xml:space="preserve"> = capital charge for P&amp;C risk </t>
    </r>
  </si>
  <si>
    <r>
      <t>C</t>
    </r>
    <r>
      <rPr>
        <vertAlign val="subscript"/>
        <sz val="8"/>
        <rFont val="Calibri"/>
        <family val="2"/>
        <scheme val="minor"/>
      </rPr>
      <t>LT</t>
    </r>
    <r>
      <rPr>
        <sz val="10"/>
        <rFont val="Calibri"/>
        <family val="2"/>
        <scheme val="minor"/>
      </rPr>
      <t xml:space="preserve"> = capital charge for Long-term Risk, and  </t>
    </r>
  </si>
  <si>
    <r>
      <t>C</t>
    </r>
    <r>
      <rPr>
        <vertAlign val="subscript"/>
        <sz val="8"/>
        <rFont val="Calibri"/>
        <family val="2"/>
        <scheme val="minor"/>
      </rPr>
      <t>Credit</t>
    </r>
    <r>
      <rPr>
        <sz val="10"/>
        <rFont val="Calibri"/>
        <family val="2"/>
        <scheme val="minor"/>
      </rPr>
      <t xml:space="preserve"> = capital charge for credit risk </t>
    </r>
  </si>
  <si>
    <r>
      <t>C</t>
    </r>
    <r>
      <rPr>
        <b/>
        <sz val="6"/>
        <color rgb="FF000000"/>
        <rFont val="Calibri"/>
        <family val="2"/>
        <scheme val="minor"/>
      </rPr>
      <t>Market</t>
    </r>
  </si>
  <si>
    <r>
      <t>C</t>
    </r>
    <r>
      <rPr>
        <vertAlign val="subscript"/>
        <sz val="8"/>
        <rFont val="Calibri"/>
        <family val="2"/>
        <scheme val="minor"/>
      </rPr>
      <t>fixedIncome</t>
    </r>
    <r>
      <rPr>
        <sz val="10"/>
        <rFont val="Calibri"/>
        <family val="2"/>
        <scheme val="minor"/>
      </rPr>
      <t xml:space="preserve"> = capital charge for fixed income investment risk (factor based charges) </t>
    </r>
  </si>
  <si>
    <r>
      <t>C</t>
    </r>
    <r>
      <rPr>
        <vertAlign val="subscript"/>
        <sz val="8"/>
        <rFont val="Calibri"/>
        <family val="2"/>
        <scheme val="minor"/>
      </rPr>
      <t>equity</t>
    </r>
    <r>
      <rPr>
        <sz val="10"/>
        <rFont val="Calibri"/>
        <family val="2"/>
        <scheme val="minor"/>
      </rPr>
      <t xml:space="preserve"> = capital charge for equity investment risk </t>
    </r>
  </si>
  <si>
    <r>
      <t>C</t>
    </r>
    <r>
      <rPr>
        <vertAlign val="subscript"/>
        <sz val="8"/>
        <rFont val="Calibri"/>
        <family val="2"/>
        <scheme val="minor"/>
      </rPr>
      <t>interest</t>
    </r>
    <r>
      <rPr>
        <sz val="10"/>
        <rFont val="Calibri"/>
        <family val="2"/>
        <scheme val="minor"/>
      </rPr>
      <t xml:space="preserve"> = capital charge for interest rate and liquidity risk </t>
    </r>
  </si>
  <si>
    <r>
      <t>C</t>
    </r>
    <r>
      <rPr>
        <vertAlign val="subscript"/>
        <sz val="8"/>
        <rFont val="Calibri"/>
        <family val="2"/>
        <scheme val="minor"/>
      </rPr>
      <t>currency</t>
    </r>
    <r>
      <rPr>
        <sz val="10"/>
        <rFont val="Calibri"/>
        <family val="2"/>
        <scheme val="minor"/>
      </rPr>
      <t xml:space="preserve"> = capital charge for currency risk </t>
    </r>
  </si>
  <si>
    <r>
      <t>C</t>
    </r>
    <r>
      <rPr>
        <vertAlign val="subscript"/>
        <sz val="8"/>
        <rFont val="Calibri"/>
        <family val="2"/>
        <scheme val="minor"/>
      </rPr>
      <t>concentration</t>
    </r>
    <r>
      <rPr>
        <sz val="10"/>
        <rFont val="Calibri"/>
        <family val="2"/>
        <scheme val="minor"/>
      </rPr>
      <t xml:space="preserve"> = capital charge for concentration risk </t>
    </r>
  </si>
  <si>
    <r>
      <t>C</t>
    </r>
    <r>
      <rPr>
        <b/>
        <sz val="6"/>
        <color rgb="FF000000"/>
        <rFont val="Calibri"/>
        <family val="2"/>
        <scheme val="minor"/>
      </rPr>
      <t>P&amp;C</t>
    </r>
  </si>
  <si>
    <r>
      <t>C</t>
    </r>
    <r>
      <rPr>
        <b/>
        <sz val="6"/>
        <color rgb="FF000000"/>
        <rFont val="Calibri"/>
        <family val="2"/>
        <scheme val="minor"/>
      </rPr>
      <t>LT</t>
    </r>
  </si>
  <si>
    <r>
      <t>C</t>
    </r>
    <r>
      <rPr>
        <i/>
        <vertAlign val="subscript"/>
        <sz val="8"/>
        <rFont val="Calibri"/>
        <family val="2"/>
        <scheme val="minor"/>
      </rPr>
      <t>LTmortality</t>
    </r>
    <r>
      <rPr>
        <sz val="10"/>
        <rFont val="Calibri"/>
        <family val="2"/>
        <scheme val="minor"/>
      </rPr>
      <t xml:space="preserve"> = Capital charge for mortality risk </t>
    </r>
  </si>
  <si>
    <r>
      <t>C</t>
    </r>
    <r>
      <rPr>
        <i/>
        <vertAlign val="subscript"/>
        <sz val="8"/>
        <rFont val="Calibri"/>
        <family val="2"/>
        <scheme val="minor"/>
      </rPr>
      <t>LTstoploss</t>
    </r>
    <r>
      <rPr>
        <sz val="10"/>
        <rFont val="Calibri"/>
        <family val="2"/>
        <scheme val="minor"/>
      </rPr>
      <t xml:space="preserve"> = Capital charge for stop loss risk </t>
    </r>
  </si>
  <si>
    <r>
      <t>C</t>
    </r>
    <r>
      <rPr>
        <i/>
        <vertAlign val="subscript"/>
        <sz val="8"/>
        <rFont val="Calibri"/>
        <family val="2"/>
        <scheme val="minor"/>
      </rPr>
      <t>LTrider</t>
    </r>
    <r>
      <rPr>
        <sz val="10"/>
        <rFont val="Calibri"/>
        <family val="2"/>
        <scheme val="minor"/>
      </rPr>
      <t xml:space="preserve"> = Capital charge for riders risk (risks not covered in the other LT categories) </t>
    </r>
  </si>
  <si>
    <r>
      <t>C</t>
    </r>
    <r>
      <rPr>
        <i/>
        <vertAlign val="subscript"/>
        <sz val="8"/>
        <rFont val="Calibri"/>
        <family val="2"/>
        <scheme val="minor"/>
      </rPr>
      <t>LTlongevity</t>
    </r>
    <r>
      <rPr>
        <sz val="10"/>
        <rFont val="Calibri"/>
        <family val="2"/>
        <scheme val="minor"/>
      </rPr>
      <t xml:space="preserve"> = Capital charge for longevity risk </t>
    </r>
  </si>
  <si>
    <r>
      <t>C</t>
    </r>
    <r>
      <rPr>
        <i/>
        <vertAlign val="subscript"/>
        <sz val="8"/>
        <rFont val="Calibri"/>
        <family val="2"/>
        <scheme val="minor"/>
      </rPr>
      <t>LTVariableAnnutiy</t>
    </r>
    <r>
      <rPr>
        <sz val="10"/>
        <rFont val="Calibri"/>
        <family val="2"/>
        <scheme val="minor"/>
      </rPr>
      <t xml:space="preserve"> = Capital charge for variable annuity risk </t>
    </r>
  </si>
  <si>
    <r>
      <t>C</t>
    </r>
    <r>
      <rPr>
        <i/>
        <vertAlign val="subscript"/>
        <sz val="8"/>
        <rFont val="Calibri"/>
        <family val="2"/>
        <scheme val="minor"/>
      </rPr>
      <t>LTotherrisk</t>
    </r>
    <r>
      <rPr>
        <sz val="10"/>
        <rFont val="Calibri"/>
        <family val="2"/>
        <scheme val="minor"/>
      </rPr>
      <t xml:space="preserve"> = Capital charge for other long-term insurance risk (policyholder behavior, expenses, and guarantees) </t>
    </r>
  </si>
  <si>
    <t>Capital Charge for Credit Risk</t>
  </si>
  <si>
    <t>Capital Charge for P&amp;C Risk</t>
  </si>
  <si>
    <r>
      <t>CorrLT</t>
    </r>
    <r>
      <rPr>
        <b/>
        <i/>
        <vertAlign val="subscript"/>
        <sz val="9"/>
        <color rgb="FFFFFFFF"/>
        <rFont val="Calibri"/>
        <family val="2"/>
      </rPr>
      <t>i,j</t>
    </r>
  </si>
  <si>
    <r>
      <t>C</t>
    </r>
    <r>
      <rPr>
        <b/>
        <i/>
        <vertAlign val="subscript"/>
        <sz val="9"/>
        <color rgb="FFFFFFFF"/>
        <rFont val="Calibri"/>
        <family val="2"/>
      </rPr>
      <t>LTmortality</t>
    </r>
  </si>
  <si>
    <r>
      <t>C</t>
    </r>
    <r>
      <rPr>
        <b/>
        <i/>
        <vertAlign val="subscript"/>
        <sz val="9"/>
        <color rgb="FFFFFFFF"/>
        <rFont val="Calibri"/>
        <family val="2"/>
      </rPr>
      <t>LTstoploss</t>
    </r>
  </si>
  <si>
    <r>
      <t>C</t>
    </r>
    <r>
      <rPr>
        <b/>
        <i/>
        <vertAlign val="subscript"/>
        <sz val="9"/>
        <color rgb="FFFFFFFF"/>
        <rFont val="Calibri"/>
        <family val="2"/>
      </rPr>
      <t>LTrider</t>
    </r>
  </si>
  <si>
    <r>
      <t>C</t>
    </r>
    <r>
      <rPr>
        <b/>
        <i/>
        <vertAlign val="subscript"/>
        <sz val="9"/>
        <color rgb="FFFFFFFF"/>
        <rFont val="Calibri"/>
        <family val="2"/>
      </rPr>
      <t>LTmobidiity</t>
    </r>
  </si>
  <si>
    <r>
      <t>C</t>
    </r>
    <r>
      <rPr>
        <b/>
        <i/>
        <vertAlign val="subscript"/>
        <sz val="9"/>
        <color rgb="FFFFFFFF"/>
        <rFont val="Calibri"/>
        <family val="2"/>
      </rPr>
      <t>LTlongevity</t>
    </r>
  </si>
  <si>
    <r>
      <t>C</t>
    </r>
    <r>
      <rPr>
        <b/>
        <i/>
        <vertAlign val="subscript"/>
        <sz val="9"/>
        <color rgb="FFFFFFFF"/>
        <rFont val="Calibri"/>
        <family val="2"/>
      </rPr>
      <t>LTVariableAnnutiy</t>
    </r>
  </si>
  <si>
    <r>
      <t>C</t>
    </r>
    <r>
      <rPr>
        <b/>
        <i/>
        <vertAlign val="subscript"/>
        <sz val="9"/>
        <color rgb="FFFFFFFF"/>
        <rFont val="Calibri"/>
        <family val="2"/>
      </rPr>
      <t>LTotherrisk</t>
    </r>
  </si>
  <si>
    <r>
      <t>C</t>
    </r>
    <r>
      <rPr>
        <i/>
        <vertAlign val="subscript"/>
        <sz val="9"/>
        <color rgb="FF000000"/>
        <rFont val="Calibri Light"/>
        <family val="2"/>
      </rPr>
      <t>LTmortality</t>
    </r>
  </si>
  <si>
    <r>
      <t>C</t>
    </r>
    <r>
      <rPr>
        <i/>
        <vertAlign val="subscript"/>
        <sz val="9"/>
        <color rgb="FF000000"/>
        <rFont val="Calibri Light"/>
        <family val="2"/>
      </rPr>
      <t>LTstoploss</t>
    </r>
  </si>
  <si>
    <r>
      <t>C</t>
    </r>
    <r>
      <rPr>
        <i/>
        <vertAlign val="subscript"/>
        <sz val="9"/>
        <color rgb="FF000000"/>
        <rFont val="Calibri Light"/>
        <family val="2"/>
      </rPr>
      <t>LTrider</t>
    </r>
  </si>
  <si>
    <r>
      <t>C</t>
    </r>
    <r>
      <rPr>
        <i/>
        <vertAlign val="subscript"/>
        <sz val="9"/>
        <color rgb="FF000000"/>
        <rFont val="Calibri Light"/>
        <family val="2"/>
      </rPr>
      <t>LTmobidiity</t>
    </r>
  </si>
  <si>
    <r>
      <t>C</t>
    </r>
    <r>
      <rPr>
        <i/>
        <vertAlign val="subscript"/>
        <sz val="9"/>
        <color rgb="FF000000"/>
        <rFont val="Calibri Light"/>
        <family val="2"/>
      </rPr>
      <t>LTlongevity</t>
    </r>
  </si>
  <si>
    <r>
      <t>C</t>
    </r>
    <r>
      <rPr>
        <i/>
        <vertAlign val="subscript"/>
        <sz val="9"/>
        <color rgb="FF000000"/>
        <rFont val="Calibri Light"/>
        <family val="2"/>
      </rPr>
      <t>LTVariableAnnutiy</t>
    </r>
  </si>
  <si>
    <r>
      <t>C</t>
    </r>
    <r>
      <rPr>
        <i/>
        <vertAlign val="subscript"/>
        <sz val="9"/>
        <color rgb="FF000000"/>
        <rFont val="Calibri Light"/>
        <family val="2"/>
      </rPr>
      <t>LTotherrisk</t>
    </r>
  </si>
  <si>
    <t>Over 75</t>
  </si>
  <si>
    <t>Maximum Age in Band</t>
  </si>
  <si>
    <t>Enhanced Capital Requirement (ECR)</t>
  </si>
  <si>
    <t>Target Capital Level (TCL)</t>
  </si>
  <si>
    <t>TCL Ratio</t>
  </si>
  <si>
    <t>ECR Ratio (Same as BSCR Ratio)</t>
  </si>
  <si>
    <t>Same as BSCR as there is no internal model</t>
  </si>
  <si>
    <t>Operational Risk Charge </t>
  </si>
  <si>
    <t>Regulatory Capital Requirement for Non-insurance Financial Operating Entities </t>
  </si>
  <si>
    <t>Adjustment for the Loss Absorbing Capacity of Technical Provisions </t>
  </si>
  <si>
    <t>Adjustment for the Loss Absorbing Capital of Deferred Taxes </t>
  </si>
  <si>
    <t>Capital Charge for Currency Risk</t>
  </si>
  <si>
    <t>Capital Charge for Concentration Risk</t>
  </si>
  <si>
    <t>Capital Charge for Stop Loss Risk </t>
  </si>
  <si>
    <t>Capital Charge for Riders Risk (Risks not covered in the other LT categories) </t>
  </si>
  <si>
    <t>Capital Charge for Morbidity Risk </t>
  </si>
  <si>
    <t>Capital Charge for Variable Annuity Risk </t>
  </si>
  <si>
    <r>
      <t>C</t>
    </r>
    <r>
      <rPr>
        <i/>
        <vertAlign val="subscript"/>
        <sz val="8"/>
        <rFont val="Calibri"/>
        <family val="2"/>
        <scheme val="minor"/>
      </rPr>
      <t>LTmorbidity</t>
    </r>
    <r>
      <rPr>
        <sz val="10"/>
        <rFont val="Calibri"/>
        <family val="2"/>
        <scheme val="minor"/>
      </rPr>
      <t xml:space="preserve"> = Capital charge for morbidity risk </t>
    </r>
  </si>
  <si>
    <t>Long Term Other Risk Factors</t>
  </si>
  <si>
    <t>Mortality (term insurance, whole life, universal life)</t>
  </si>
  <si>
    <t>Longevity (immediate pay-out annuities, contingent annuities, pension pay-outs)</t>
  </si>
  <si>
    <t>US RBC Calculation</t>
  </si>
  <si>
    <t>Regulatory Capital Adequacy for Life Insurance Companies Example</t>
  </si>
  <si>
    <t>Comparison of Jurisdictions Tool</t>
  </si>
  <si>
    <r>
      <t xml:space="preserve">This workbook is intended to be an example that illustrates Regulatory Capital Adequacy for Life Insurance Companies for the following jurisdictions: United States of America (US), Canada, Europe,  and Bermuda. The purpose of this workbook is to provide a simple and illustrative example that quantifies the differences between regulatory approaches, but demonstrates the value of diversification. The user is reminded that there are a number of simplifications in calculating the capital for the jurisdictions. This workbook is for </t>
    </r>
    <r>
      <rPr>
        <b/>
        <sz val="11"/>
        <color theme="1"/>
        <rFont val="Calibri"/>
        <family val="2"/>
        <scheme val="minor"/>
      </rPr>
      <t>EDUCATIONAL USE ONLY.</t>
    </r>
    <r>
      <rPr>
        <sz val="11"/>
        <color theme="1"/>
        <rFont val="Calibri"/>
        <family val="2"/>
        <scheme val="minor"/>
      </rPr>
      <t xml:space="preserve">
The rest of this worksheet describes the other worksheets in this workbook.</t>
    </r>
  </si>
  <si>
    <t>General Guidance</t>
  </si>
  <si>
    <t>This worksheet (tab) provides guidance on how to use this workbook and where to enter assumptions.</t>
  </si>
  <si>
    <t>These worksheets contain the inputs used to determine capital adequacy for the four jurisdictions. This includes the simplifications and solvency factors to be used to determine capital adequacy for the jurisdictions, assets, and liabilities.</t>
  </si>
  <si>
    <t>This worksheet provides general guidance on how to use this workbook.</t>
  </si>
  <si>
    <t>All inputs are contained on the input worksheets. The numbers on the Inputs - Solvency Factors worksheet are prescribed and are not to be altered.</t>
  </si>
  <si>
    <t xml:space="preserve">The solvency factors are located on the Inputs - Solvency Factors worksheet under "US Risk-Based Capital (RBC) Factors". These factors also include the Corporate Tax Rate and Authorized Control Level Risk-Based Capital factor. </t>
  </si>
  <si>
    <t>Market Value/Book Value</t>
  </si>
  <si>
    <t>Mortality  Variance Covariance Matrix</t>
  </si>
  <si>
    <t>Life  Variance Covariance Matrix</t>
  </si>
  <si>
    <t>Over 50,000,000,000</t>
  </si>
  <si>
    <r>
      <t>CorrMarket</t>
    </r>
    <r>
      <rPr>
        <i/>
        <vertAlign val="subscript"/>
        <sz val="8"/>
        <color theme="0"/>
        <rFont val="Calibri Light"/>
        <family val="2"/>
      </rPr>
      <t>i,j</t>
    </r>
    <r>
      <rPr>
        <sz val="8"/>
        <color theme="0"/>
        <rFont val="Calibri Light"/>
        <family val="2"/>
      </rPr>
      <t> </t>
    </r>
  </si>
  <si>
    <r>
      <t>C</t>
    </r>
    <r>
      <rPr>
        <vertAlign val="subscript"/>
        <sz val="8"/>
        <color theme="0"/>
        <rFont val="Calibri Light"/>
        <family val="2"/>
      </rPr>
      <t>fixedIncome</t>
    </r>
    <r>
      <rPr>
        <sz val="8"/>
        <color theme="0"/>
        <rFont val="Calibri Light"/>
        <family val="2"/>
      </rPr>
      <t> </t>
    </r>
  </si>
  <si>
    <r>
      <t>C</t>
    </r>
    <r>
      <rPr>
        <vertAlign val="subscript"/>
        <sz val="8"/>
        <color theme="0"/>
        <rFont val="Calibri Light"/>
        <family val="2"/>
      </rPr>
      <t>equity</t>
    </r>
    <r>
      <rPr>
        <sz val="8"/>
        <color theme="0"/>
        <rFont val="Calibri Light"/>
        <family val="2"/>
      </rPr>
      <t> </t>
    </r>
  </si>
  <si>
    <r>
      <t>C</t>
    </r>
    <r>
      <rPr>
        <vertAlign val="subscript"/>
        <sz val="8"/>
        <color theme="0"/>
        <rFont val="Calibri Light"/>
        <family val="2"/>
      </rPr>
      <t>interest</t>
    </r>
    <r>
      <rPr>
        <sz val="8"/>
        <color theme="0"/>
        <rFont val="Calibri Light"/>
        <family val="2"/>
      </rPr>
      <t> </t>
    </r>
  </si>
  <si>
    <r>
      <t>C</t>
    </r>
    <r>
      <rPr>
        <vertAlign val="subscript"/>
        <sz val="8"/>
        <color theme="0"/>
        <rFont val="Calibri Light"/>
        <family val="2"/>
      </rPr>
      <t>currency</t>
    </r>
    <r>
      <rPr>
        <sz val="8"/>
        <color theme="0"/>
        <rFont val="Calibri Light"/>
        <family val="2"/>
      </rPr>
      <t> </t>
    </r>
  </si>
  <si>
    <r>
      <t>C</t>
    </r>
    <r>
      <rPr>
        <vertAlign val="subscript"/>
        <sz val="8"/>
        <color theme="0"/>
        <rFont val="Calibri Light"/>
        <family val="2"/>
      </rPr>
      <t>concentration</t>
    </r>
    <r>
      <rPr>
        <sz val="8"/>
        <color theme="0"/>
        <rFont val="Calibri Light"/>
        <family val="2"/>
      </rPr>
      <t> </t>
    </r>
  </si>
  <si>
    <t>Market Risk Correlation Matrix </t>
  </si>
  <si>
    <t>Long-Term Risk Module Correlation Matrix </t>
  </si>
  <si>
    <t>1. General Guidance</t>
  </si>
  <si>
    <t>2. Inputs - [Item]</t>
  </si>
  <si>
    <t>3a. US</t>
  </si>
  <si>
    <t>3b. Canada</t>
  </si>
  <si>
    <t>3c. Europe</t>
  </si>
  <si>
    <t>3d. Bermuda</t>
  </si>
  <si>
    <t>4. Results Summary</t>
  </si>
  <si>
    <t>2d. Mortality</t>
  </si>
  <si>
    <t>This worksheet contains the mortality assumption used for Solvency II.</t>
  </si>
  <si>
    <t>The US RBC is based on the statutory reserves, premiums and net amount at risk (NAR) values found on the Inputs - Liabilities worksheet.</t>
  </si>
  <si>
    <r>
      <t>Ratio</t>
    </r>
    <r>
      <rPr>
        <b/>
        <vertAlign val="superscript"/>
        <sz val="9"/>
        <color theme="0"/>
        <rFont val="Calibri Light"/>
        <family val="2"/>
        <scheme val="major"/>
      </rPr>
      <t>1</t>
    </r>
  </si>
  <si>
    <t>Equity shock for regulated markets that are members of the EEA or EOCD.</t>
  </si>
  <si>
    <t>Equity shock applied for regulated markets outside EEA or EOCD, like emerging markets.</t>
  </si>
  <si>
    <t>Prescribed correlation coefficient EEA or EOCD regulated equities and non-EEA and non-EOCD regulated equities</t>
  </si>
  <si>
    <t>Prescribed shock to real estate (page 12). Represents an instantaneous decrease by 25% of the value of property holdings.</t>
  </si>
  <si>
    <t>Results will be generated on the US, Canada, Europe and Bermuda worksheets. The Results Summary worksheet shows the results for the four (4) jurisdictions as well as any potential regulatory actions to be taken.</t>
  </si>
  <si>
    <t>Statutory Reserves</t>
  </si>
  <si>
    <t>US uses Statutory Reserve, Premium and Net Amount At Risk columns, and Asset Valuation Reserve, Dividends Apportioned for Payment, Dividends Not Yet Apportioned and Hedging Fair Value Adjustment.</t>
  </si>
  <si>
    <t>Canada uses Statutory Reserve, Separate Account Reserves and Premium, and Asset Valuation Reserve, Dividends Apportioned for Payment, Dividends Not Yet Apportioned and Hedging Fair Value Adjustment.</t>
  </si>
  <si>
    <t>Bermuda uses Net Amount at Risk and Market Value</t>
  </si>
  <si>
    <t>Solvency II uses Market Value and values in Solvency II section below.</t>
  </si>
  <si>
    <t>Solvency II uses Market Value Assets, Duration, and values in Solvency II section below.</t>
  </si>
  <si>
    <t>Bermuda uses Market Value Assets.</t>
  </si>
  <si>
    <t>Canada uses Book Value Assets.</t>
  </si>
  <si>
    <t>US uses Book Value Assets and Affiliated US Life Insurers Directly Owned.</t>
  </si>
  <si>
    <t>Inputs - US Solvency Factors</t>
  </si>
  <si>
    <t>Inputs - Europe Solvency Factors</t>
  </si>
  <si>
    <t>Inputs - Bermuda Solvency Factors</t>
  </si>
  <si>
    <t>Inputs - Canada Solvency Factors</t>
  </si>
  <si>
    <t>Throughout this Excel file, parameters that can be changed by the user are identified with yellow background, as follows:</t>
  </si>
  <si>
    <t>Level Term Period</t>
  </si>
  <si>
    <t>Policy Duration</t>
  </si>
  <si>
    <t>In addition to the Base scenario, there are two (2) alternate scenarios in this workbook that demonstrate how capital is impacted. The first is riskier assets while the other is a change liability mix. The set up for these scenarios are found on the following worksheets:</t>
  </si>
  <si>
    <t>Used to determine Corporate Income Tax on the '3a.US' worksheet</t>
  </si>
  <si>
    <t>Simplified assumption used on the '3b. Canada' worksheet.</t>
  </si>
  <si>
    <t>Simplified assumption used on the '3c. Europe' worksheet.</t>
  </si>
  <si>
    <t>Simplified assumption used on the '3d. Bermuda' worksheet.</t>
  </si>
  <si>
    <t>Simplified assumption used on the '3a. US' worksheet. Assumes market risk does not vary by scenario.</t>
  </si>
  <si>
    <t>Altering the Percent Mix will impact the Book and Market Value for the Riskier Asset Scenario. Changes can be seen in the Riskier Asset Scenario on the worksheets starting with '3'.</t>
  </si>
  <si>
    <t>Used in the Interest Up and Down scenarios and calculations in the table below.</t>
  </si>
  <si>
    <t>Assume this company is not a subsidiary. Used on the '3a. US' worksheet.</t>
  </si>
  <si>
    <t>Market Value is determined using the Book Value and Market Value/Book Value assumptions.</t>
  </si>
  <si>
    <r>
      <rPr>
        <b/>
        <sz val="11"/>
        <color theme="1"/>
        <rFont val="Calibri"/>
        <family val="2"/>
        <scheme val="minor"/>
      </rPr>
      <t>Riskier Assets</t>
    </r>
    <r>
      <rPr>
        <sz val="11"/>
        <color theme="1"/>
        <rFont val="Calibri"/>
        <family val="2"/>
        <scheme val="minor"/>
      </rPr>
      <t xml:space="preserve"> - changes to this scenario can be done by altering the percent mix in cells G16 to G21 of the "2b. Inputs - Assets" worksheet.</t>
    </r>
  </si>
  <si>
    <t>Used in the Interest Up and Down scenarios and calculations in the table below. This is also used to calculate the Premium, Life Reserve and Annuity on the '2c. Inputs - Liabilities' worksheet.</t>
  </si>
  <si>
    <t>Level Term Period, Policy Duration and Attained Age are used in determining Premium, Annuity and Life Reserve for Solvency II.</t>
  </si>
  <si>
    <t>Statutory Reserve % of Market Value</t>
  </si>
  <si>
    <t>Face Amount is used on the '3a.US' and '3b.Canada' worksheets.</t>
  </si>
  <si>
    <t>Updating Values in Worksheet</t>
  </si>
  <si>
    <t>Statutory Reserve % of Market Value is used to calculate the Statutory Reserves.</t>
  </si>
  <si>
    <t>Percent Mix alters the face amount, reserves premium, Net Amount at Risk and Market Value for the Change Mix of Liaibilities scenario.</t>
  </si>
  <si>
    <r>
      <rPr>
        <b/>
        <sz val="11"/>
        <color theme="1"/>
        <rFont val="Calibri"/>
        <family val="2"/>
        <scheme val="minor"/>
      </rPr>
      <t>Change Liability Mix</t>
    </r>
    <r>
      <rPr>
        <sz val="11"/>
        <color theme="1"/>
        <rFont val="Calibri"/>
        <family val="2"/>
        <scheme val="minor"/>
      </rPr>
      <t xml:space="preserve"> - changes to this scenario can be done by altering the Percent Mix in cells M30 and M31 of the "2c. Inputs - Liabilities" worksheet</t>
    </r>
  </si>
  <si>
    <t>Simplified assumption used on the '3a. US' and '3b. Canada' worksheets. Assume values do not change by scenario.</t>
  </si>
  <si>
    <t>Mortality rates and Mortality Up and Down percents are used to determine mortality for calculating premium, Annuity and Life Reserves on the '2c. Inputs - Liabilities worksheet. Also used to calculate the interest rate risk values on the '2a.iii Inputs - Europe Factors' and the Solvency II values on the '2b. Inputs - Assets' worksheet.</t>
  </si>
  <si>
    <t>NAIC 1</t>
  </si>
  <si>
    <t>NAIC 2</t>
  </si>
  <si>
    <t>NAIC 3</t>
  </si>
  <si>
    <t>NAIC 4</t>
  </si>
  <si>
    <t>NAIC 5</t>
  </si>
  <si>
    <t>NAIC 6</t>
  </si>
  <si>
    <t>CM1</t>
  </si>
  <si>
    <t>CM2</t>
  </si>
  <si>
    <t>CM3</t>
  </si>
  <si>
    <t>CM4</t>
  </si>
  <si>
    <t>CM5</t>
  </si>
  <si>
    <t>Morbidity incidence and claims</t>
  </si>
  <si>
    <t>Morbidity termination</t>
  </si>
  <si>
    <t>Lapse sensitive</t>
  </si>
  <si>
    <t>Lapse supported</t>
  </si>
  <si>
    <t>Expense</t>
  </si>
  <si>
    <t>Level and Trend Component</t>
  </si>
  <si>
    <t>Total - 0.5 Level and Trend Component</t>
  </si>
  <si>
    <t>Market and Credit Risk</t>
  </si>
  <si>
    <t>Diversified Risk Requirement</t>
  </si>
  <si>
    <t>Undiversified Risk Requirement</t>
  </si>
  <si>
    <t>Final Adjusted Requirement</t>
  </si>
  <si>
    <t>Final Adjustment Factors</t>
  </si>
  <si>
    <t>Undiversified Risk Requirement Factor 1</t>
  </si>
  <si>
    <t>LT Factor 2</t>
  </si>
  <si>
    <t>LT Factor 1</t>
  </si>
  <si>
    <t>Undiversified Risk Requirement Factor 2</t>
  </si>
  <si>
    <t>Diversified Risk Requirement Factor 1</t>
  </si>
  <si>
    <t>Insurance Risk Correlation Matrix</t>
  </si>
  <si>
    <t>j</t>
  </si>
  <si>
    <t xml:space="preserve">
i</t>
  </si>
  <si>
    <t>Credit for Reinsurance and Special Policyholder Arrangements</t>
  </si>
  <si>
    <t>Risk Adjustments and Surplus Allowance</t>
  </si>
  <si>
    <t>Geographic Region Base Solvency Buffer</t>
  </si>
  <si>
    <t>Base Solvency Buffer after Scalar</t>
  </si>
  <si>
    <t>5) Mortality risk has been set to $2.5M for base and riskier asset scenario and $1.0M for changed liability mix scenario</t>
  </si>
  <si>
    <t>6) Longevity risk has been set to $25K for base and riskier asset scenario and $75K for changed liability mix scenario</t>
  </si>
  <si>
    <t>8) Expense Risk is $10,000</t>
  </si>
  <si>
    <t>2) Equity capital charge has been set to 45% of equity assets</t>
  </si>
  <si>
    <t>This worksheet calculates the Life Insurance Capital Adequacy Test (LICAT) for Canada. It includes calculations for Tier 1 and Tier 2 capital, Total Ratio and Core Ratio.</t>
  </si>
  <si>
    <t>Annual Premium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</si>
</sst>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5" formatCode="&quot;$&quot;#,##0_);\(&quot;$&quot;#,##0\)"/>
    <numFmt numFmtId="44" formatCode="_(&quot;$&quot;* #,##0.00_);_(&quot;$&quot;* \(#,##0.00\);_(&quot;$&quot;* &quot;-&quot;??_);_(@_)"/>
    <numFmt numFmtId="43" formatCode="_(* #,##0.00_);_(* \(#,##0.00\);_(* &quot;-&quot;??_);_(@_)"/>
    <numFmt numFmtId="164" formatCode="\(0\)"/>
    <numFmt numFmtId="165" formatCode="_(* #,##0_);_(* \(#,##0\);_(* &quot;-&quot;??_);_(@_)"/>
    <numFmt numFmtId="166" formatCode="0.0%"/>
    <numFmt numFmtId="167" formatCode="&quot;$&quot;#,##0"/>
    <numFmt numFmtId="168" formatCode="0.0000000"/>
    <numFmt numFmtId="169" formatCode="0.00000"/>
    <numFmt numFmtId="170" formatCode="0.000"/>
    <numFmt numFmtId="171" formatCode=".00000"/>
    <numFmt numFmtId="172" formatCode="0.0000"/>
    <numFmt numFmtId="173" formatCode="_(* #,##0.000_);_(* \(#,##0.000\);_(* &quot;-&quot;??_);_(@_)"/>
    <numFmt numFmtId="174" formatCode="_(* #,##0.00000_);_(* \(#,##0.00000\);_(* &quot;-&quot;??_);_(@_)"/>
    <numFmt numFmtId="175" formatCode="_(* #,##0.000000_);_(* \(#,##0.000000\);_(* &quot;-&quot;??_);_(@_)"/>
    <numFmt numFmtId="176" formatCode="_(* #,##0.0000000_);_(* \(#,##0.0000000\);_(* &quot;-&quot;??_);_(@_)"/>
  </numFmts>
  <fonts count="61">
    <font>
      <sz val="11"/>
      <color theme="1"/>
      <name val="Calibri"/>
      <family val="2"/>
      <scheme val="minor"/>
    </font>
    <font>
      <sz val="11"/>
      <color theme="1"/>
      <name val="Calibri"/>
      <family val="2"/>
      <scheme val="minor"/>
    </font>
    <font>
      <b/>
      <sz val="11"/>
      <color theme="1"/>
      <name val="Calibri"/>
      <family val="2"/>
      <scheme val="minor"/>
    </font>
    <font>
      <sz val="11"/>
      <name val="Calibri"/>
      <family val="2"/>
      <scheme val="minor"/>
    </font>
    <font>
      <b/>
      <u/>
      <sz val="11"/>
      <color theme="1"/>
      <name val="Calibri"/>
      <family val="2"/>
      <scheme val="minor"/>
    </font>
    <font>
      <sz val="11"/>
      <color rgb="FFFF0000"/>
      <name val="Calibri"/>
      <family val="2"/>
      <scheme val="minor"/>
    </font>
    <font>
      <b/>
      <sz val="11"/>
      <color rgb="FFFF0000"/>
      <name val="Calibri"/>
      <family val="2"/>
      <scheme val="minor"/>
    </font>
    <font>
      <sz val="8"/>
      <color rgb="FF000000"/>
      <name val="Calibri Light"/>
      <family val="2"/>
    </font>
    <font>
      <sz val="9"/>
      <color rgb="FF000000"/>
      <name val="Calibri Light"/>
      <family val="2"/>
    </font>
    <font>
      <sz val="9"/>
      <color rgb="FF000000"/>
      <name val="MathJax_Main"/>
    </font>
    <font>
      <sz val="10"/>
      <name val="Calibri Light"/>
      <family val="2"/>
    </font>
    <font>
      <b/>
      <sz val="9"/>
      <color rgb="FFFFFFFF"/>
      <name val="Calibri"/>
      <family val="2"/>
    </font>
    <font>
      <b/>
      <sz val="7"/>
      <color rgb="FFFFFFFF"/>
      <name val="Calibri"/>
      <family val="2"/>
    </font>
    <font>
      <b/>
      <vertAlign val="subscript"/>
      <sz val="7"/>
      <color rgb="FFFFFFFF"/>
      <name val="Calibri"/>
      <family val="2"/>
    </font>
    <font>
      <vertAlign val="subscript"/>
      <sz val="8"/>
      <color rgb="FF000000"/>
      <name val="Calibri Light"/>
      <family val="2"/>
    </font>
    <font>
      <sz val="10"/>
      <name val="Arial"/>
      <family val="2"/>
    </font>
    <font>
      <b/>
      <sz val="10"/>
      <color theme="1"/>
      <name val="Calibri"/>
      <family val="2"/>
      <scheme val="minor"/>
    </font>
    <font>
      <sz val="10"/>
      <name val="MathJax_Main"/>
    </font>
    <font>
      <sz val="8"/>
      <name val="Calibri"/>
      <family val="2"/>
      <scheme val="minor"/>
    </font>
    <font>
      <b/>
      <vertAlign val="superscript"/>
      <sz val="11"/>
      <color theme="1"/>
      <name val="Calibri"/>
      <family val="2"/>
      <scheme val="minor"/>
    </font>
    <font>
      <sz val="9"/>
      <color theme="1"/>
      <name val="Calibri"/>
      <family val="2"/>
      <scheme val="minor"/>
    </font>
    <font>
      <vertAlign val="superscript"/>
      <sz val="9"/>
      <color theme="1"/>
      <name val="Calibri"/>
      <family val="2"/>
      <scheme val="minor"/>
    </font>
    <font>
      <sz val="11"/>
      <color theme="0"/>
      <name val="Calibri"/>
      <family val="2"/>
      <scheme val="minor"/>
    </font>
    <font>
      <vertAlign val="subscript"/>
      <sz val="9"/>
      <color rgb="FF000000"/>
      <name val="Calibri Light"/>
      <family val="2"/>
    </font>
    <font>
      <sz val="10"/>
      <color theme="1"/>
      <name val="Calibri Light"/>
      <family val="2"/>
    </font>
    <font>
      <sz val="8"/>
      <color theme="1"/>
      <name val="Calibri Light"/>
      <family val="2"/>
    </font>
    <font>
      <sz val="13"/>
      <color rgb="FF000000"/>
      <name val="Calibri"/>
      <family val="2"/>
    </font>
    <font>
      <b/>
      <sz val="18"/>
      <color theme="1"/>
      <name val="Calibri"/>
      <family val="2"/>
      <scheme val="minor"/>
    </font>
    <font>
      <b/>
      <sz val="18"/>
      <color rgb="FFC00000"/>
      <name val="Calibri"/>
      <family val="2"/>
      <scheme val="minor"/>
    </font>
    <font>
      <b/>
      <sz val="26"/>
      <color theme="1"/>
      <name val="Calibri"/>
      <family val="2"/>
      <scheme val="minor"/>
    </font>
    <font>
      <b/>
      <sz val="11"/>
      <color theme="1" tint="0.34998626667073579"/>
      <name val="Calibri"/>
      <family val="2"/>
      <scheme val="minor"/>
    </font>
    <font>
      <sz val="13"/>
      <color theme="1"/>
      <name val="Calibri"/>
      <family val="2"/>
    </font>
    <font>
      <sz val="13"/>
      <color rgb="FF000000"/>
      <name val="Calibri"/>
      <family val="2"/>
      <scheme val="minor"/>
    </font>
    <font>
      <sz val="13"/>
      <color theme="1"/>
      <name val="Calibri"/>
      <family val="2"/>
      <scheme val="minor"/>
    </font>
    <font>
      <b/>
      <sz val="13"/>
      <color rgb="FF000000"/>
      <name val="Calibri"/>
      <family val="2"/>
    </font>
    <font>
      <b/>
      <sz val="13"/>
      <color rgb="FF000000"/>
      <name val="Calibri"/>
      <family val="2"/>
      <scheme val="minor"/>
    </font>
    <font>
      <sz val="10"/>
      <color theme="1"/>
      <name val="Calibri"/>
      <family val="2"/>
      <scheme val="minor"/>
    </font>
    <font>
      <vertAlign val="subscript"/>
      <sz val="8"/>
      <name val="Calibri"/>
      <family val="2"/>
      <scheme val="minor"/>
    </font>
    <font>
      <sz val="10"/>
      <name val="Calibri"/>
      <family val="2"/>
      <scheme val="minor"/>
    </font>
    <font>
      <b/>
      <sz val="9"/>
      <color rgb="FF000000"/>
      <name val="Calibri"/>
      <family val="2"/>
      <scheme val="minor"/>
    </font>
    <font>
      <b/>
      <sz val="10"/>
      <name val="Calibri"/>
      <family val="2"/>
      <scheme val="minor"/>
    </font>
    <font>
      <b/>
      <sz val="6"/>
      <color rgb="FF000000"/>
      <name val="Calibri"/>
      <family val="2"/>
      <scheme val="minor"/>
    </font>
    <font>
      <i/>
      <vertAlign val="subscript"/>
      <sz val="8"/>
      <name val="Calibri"/>
      <family val="2"/>
      <scheme val="minor"/>
    </font>
    <font>
      <sz val="10"/>
      <color theme="0"/>
      <name val="Calibri"/>
      <family val="2"/>
      <scheme val="minor"/>
    </font>
    <font>
      <b/>
      <sz val="10"/>
      <color rgb="FF000000"/>
      <name val="Calibri"/>
      <family val="2"/>
      <scheme val="minor"/>
    </font>
    <font>
      <b/>
      <i/>
      <vertAlign val="subscript"/>
      <sz val="9"/>
      <color rgb="FFFFFFFF"/>
      <name val="Calibri"/>
      <family val="2"/>
    </font>
    <font>
      <i/>
      <vertAlign val="subscript"/>
      <sz val="9"/>
      <color rgb="FF000000"/>
      <name val="Calibri Light"/>
      <family val="2"/>
    </font>
    <font>
      <sz val="9"/>
      <color rgb="FF333333"/>
      <name val="Calibri Light"/>
      <family val="2"/>
    </font>
    <font>
      <b/>
      <sz val="9"/>
      <color rgb="FF000000"/>
      <name val="Calibri Light"/>
      <family val="2"/>
    </font>
    <font>
      <sz val="9"/>
      <color rgb="FF000000"/>
      <name val="Calibri Light"/>
      <family val="2"/>
      <scheme val="major"/>
    </font>
    <font>
      <sz val="9"/>
      <color theme="1"/>
      <name val="Calibri Light"/>
      <family val="2"/>
      <scheme val="major"/>
    </font>
    <font>
      <b/>
      <sz val="11"/>
      <color theme="1"/>
      <name val="Calibri Light"/>
      <family val="2"/>
      <scheme val="major"/>
    </font>
    <font>
      <b/>
      <sz val="9"/>
      <color theme="1"/>
      <name val="Calibri Light"/>
      <family val="2"/>
      <scheme val="major"/>
    </font>
    <font>
      <sz val="9"/>
      <name val="Calibri Light"/>
      <family val="2"/>
      <scheme val="major"/>
    </font>
    <font>
      <b/>
      <sz val="9"/>
      <color theme="0"/>
      <name val="Calibri Light"/>
      <family val="2"/>
    </font>
    <font>
      <i/>
      <vertAlign val="subscript"/>
      <sz val="8"/>
      <color theme="0"/>
      <name val="Calibri Light"/>
      <family val="2"/>
    </font>
    <font>
      <sz val="8"/>
      <color theme="0"/>
      <name val="Calibri Light"/>
      <family val="2"/>
    </font>
    <font>
      <vertAlign val="subscript"/>
      <sz val="8"/>
      <color theme="0"/>
      <name val="Calibri Light"/>
      <family val="2"/>
    </font>
    <font>
      <sz val="9"/>
      <color theme="0"/>
      <name val="Calibri Light"/>
      <family val="2"/>
      <scheme val="major"/>
    </font>
    <font>
      <b/>
      <sz val="9"/>
      <color theme="0"/>
      <name val="Calibri Light"/>
      <family val="2"/>
      <scheme val="major"/>
    </font>
    <font>
      <b/>
      <vertAlign val="superscript"/>
      <sz val="9"/>
      <color theme="0"/>
      <name val="Calibri Light"/>
      <family val="2"/>
      <scheme val="major"/>
    </font>
  </fonts>
  <fills count="8">
    <fill>
      <patternFill patternType="none"/>
    </fill>
    <fill>
      <patternFill patternType="gray125"/>
    </fill>
    <fill>
      <patternFill patternType="solid">
        <fgColor rgb="FF024D7C"/>
        <bgColor indexed="64"/>
      </patternFill>
    </fill>
    <fill>
      <patternFill patternType="solid">
        <fgColor rgb="FFE7E6E6"/>
        <bgColor indexed="64"/>
      </patternFill>
    </fill>
    <fill>
      <patternFill patternType="solid">
        <fgColor theme="0"/>
        <bgColor indexed="64"/>
      </patternFill>
    </fill>
    <fill>
      <patternFill patternType="solid">
        <fgColor rgb="FFE7E7E7"/>
        <bgColor indexed="64"/>
      </patternFill>
    </fill>
    <fill>
      <patternFill patternType="solid">
        <fgColor rgb="FFFFFFCC"/>
        <bgColor indexed="64"/>
      </patternFill>
    </fill>
    <fill>
      <patternFill patternType="solid">
        <fgColor theme="0" tint="-0.14999847407452621"/>
        <bgColor indexed="64"/>
      </patternFill>
    </fill>
  </fills>
  <borders count="70">
    <border>
      <left/>
      <right/>
      <top/>
      <bottom/>
      <diagonal/>
    </border>
    <border>
      <left/>
      <right/>
      <top style="medium">
        <color auto="1"/>
      </top>
      <bottom/>
      <diagonal/>
    </border>
    <border>
      <left/>
      <right/>
      <top/>
      <bottom style="medium">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rgb="FF000000"/>
      </bottom>
      <diagonal/>
    </border>
    <border>
      <left style="medium">
        <color rgb="FF000000"/>
      </left>
      <right style="medium">
        <color rgb="FF000000"/>
      </right>
      <top style="medium">
        <color rgb="FFAEAAAA"/>
      </top>
      <bottom style="medium">
        <color rgb="FFAEAAAA"/>
      </bottom>
      <diagonal/>
    </border>
    <border>
      <left style="medium">
        <color rgb="FF000000"/>
      </left>
      <right style="medium">
        <color rgb="FF000000"/>
      </right>
      <top style="thin">
        <color rgb="FF000000"/>
      </top>
      <bottom style="medium">
        <color rgb="FFAEAAAA"/>
      </bottom>
      <diagonal/>
    </border>
    <border>
      <left style="medium">
        <color rgb="FF000000"/>
      </left>
      <right style="thin">
        <color rgb="FF000000"/>
      </right>
      <top style="thin">
        <color rgb="FF000000"/>
      </top>
      <bottom style="medium">
        <color rgb="FFAEAAAA"/>
      </bottom>
      <diagonal/>
    </border>
    <border>
      <left style="medium">
        <color rgb="FF000000"/>
      </left>
      <right style="thin">
        <color rgb="FF000000"/>
      </right>
      <top style="medium">
        <color rgb="FFAEAAAA"/>
      </top>
      <bottom style="medium">
        <color rgb="FFAEAAAA"/>
      </bottom>
      <diagonal/>
    </border>
    <border>
      <left style="medium">
        <color rgb="FF000000"/>
      </left>
      <right style="medium">
        <color rgb="FF000000"/>
      </right>
      <top style="medium">
        <color rgb="FFAEAAAA"/>
      </top>
      <bottom style="thin">
        <color rgb="FF000000"/>
      </bottom>
      <diagonal/>
    </border>
    <border>
      <left style="medium">
        <color rgb="FF000000"/>
      </left>
      <right style="thin">
        <color rgb="FF000000"/>
      </right>
      <top style="medium">
        <color rgb="FFAEAAAA"/>
      </top>
      <bottom style="thin">
        <color rgb="FF00000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style="thin">
        <color indexed="64"/>
      </top>
      <bottom/>
      <diagonal/>
    </border>
    <border>
      <left/>
      <right/>
      <top/>
      <bottom style="thin">
        <color indexed="64"/>
      </bottom>
      <diagonal/>
    </border>
    <border>
      <left/>
      <right style="medium">
        <color indexed="64"/>
      </right>
      <top/>
      <bottom style="medium">
        <color indexed="64"/>
      </bottom>
      <diagonal/>
    </border>
    <border>
      <left/>
      <right style="thin">
        <color indexed="64"/>
      </right>
      <top/>
      <bottom style="thin">
        <color indexed="64"/>
      </bottom>
      <diagonal/>
    </border>
    <border>
      <left style="medium">
        <color rgb="FF000000"/>
      </left>
      <right style="medium">
        <color rgb="FF000000"/>
      </right>
      <top style="medium">
        <color rgb="FF000000"/>
      </top>
      <bottom style="medium">
        <color rgb="FFAEAAAA"/>
      </bottom>
      <diagonal/>
    </border>
    <border>
      <left/>
      <right style="medium">
        <color rgb="FF000000"/>
      </right>
      <top style="medium">
        <color rgb="FF000000"/>
      </top>
      <bottom style="medium">
        <color rgb="FFAEAAAA"/>
      </bottom>
      <diagonal/>
    </border>
    <border>
      <left style="medium">
        <color rgb="FF000000"/>
      </left>
      <right style="medium">
        <color rgb="FF000000"/>
      </right>
      <top/>
      <bottom style="medium">
        <color rgb="FFAEAAAA"/>
      </bottom>
      <diagonal/>
    </border>
    <border>
      <left/>
      <right style="medium">
        <color rgb="FF000000"/>
      </right>
      <top/>
      <bottom style="medium">
        <color rgb="FFAEAAAA"/>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rgb="FF000000"/>
      </left>
      <right/>
      <top/>
      <bottom/>
      <diagonal/>
    </border>
    <border>
      <left style="medium">
        <color rgb="FF000000"/>
      </left>
      <right style="medium">
        <color rgb="FF000000"/>
      </right>
      <top style="medium">
        <color rgb="FF000000"/>
      </top>
      <bottom/>
      <diagonal/>
    </border>
    <border>
      <left style="medium">
        <color indexed="64"/>
      </left>
      <right style="medium">
        <color rgb="FF000000"/>
      </right>
      <top style="medium">
        <color indexed="64"/>
      </top>
      <bottom style="medium">
        <color rgb="FFAEAAAA"/>
      </bottom>
      <diagonal/>
    </border>
    <border>
      <left style="medium">
        <color indexed="64"/>
      </left>
      <right style="medium">
        <color rgb="FF000000"/>
      </right>
      <top/>
      <bottom style="medium">
        <color rgb="FFAEAAAA"/>
      </bottom>
      <diagonal/>
    </border>
    <border>
      <left style="medium">
        <color indexed="64"/>
      </left>
      <right style="medium">
        <color rgb="FF000000"/>
      </right>
      <top style="medium">
        <color rgb="FFAEAAAA"/>
      </top>
      <bottom style="medium">
        <color indexed="64"/>
      </bottom>
      <diagonal/>
    </border>
    <border>
      <left style="medium">
        <color rgb="FF000000"/>
      </left>
      <right style="medium">
        <color rgb="FF000000"/>
      </right>
      <top style="medium">
        <color rgb="FFAEAAAA"/>
      </top>
      <bottom style="medium">
        <color indexed="64"/>
      </bottom>
      <diagonal/>
    </border>
    <border>
      <left/>
      <right style="medium">
        <color rgb="FF000000"/>
      </right>
      <top style="medium">
        <color rgb="FFAEAAAA"/>
      </top>
      <bottom style="medium">
        <color indexed="64"/>
      </bottom>
      <diagonal/>
    </border>
    <border>
      <left/>
      <right style="medium">
        <color rgb="FF000000"/>
      </right>
      <top style="medium">
        <color rgb="FFAEAAAA"/>
      </top>
      <bottom style="medium">
        <color rgb="FFAEAAAA"/>
      </bottom>
      <diagonal/>
    </border>
    <border>
      <left/>
      <right style="medium">
        <color rgb="FF000000"/>
      </right>
      <top/>
      <bottom style="medium">
        <color indexed="64"/>
      </bottom>
      <diagonal/>
    </border>
    <border>
      <left style="medium">
        <color rgb="FF000000"/>
      </left>
      <right style="medium">
        <color rgb="FF000000"/>
      </right>
      <top/>
      <bottom style="medium">
        <color indexed="64"/>
      </bottom>
      <diagonal/>
    </border>
    <border>
      <left style="medium">
        <color rgb="FF000000"/>
      </left>
      <right style="medium">
        <color indexed="64"/>
      </right>
      <top style="medium">
        <color indexed="64"/>
      </top>
      <bottom style="medium">
        <color rgb="FFAEAAAA"/>
      </bottom>
      <diagonal/>
    </border>
    <border>
      <left style="medium">
        <color indexed="64"/>
      </left>
      <right style="medium">
        <color rgb="FF000000"/>
      </right>
      <top/>
      <bottom style="medium">
        <color indexed="64"/>
      </bottom>
      <diagonal/>
    </border>
    <border>
      <left style="medium">
        <color indexed="64"/>
      </left>
      <right/>
      <top style="medium">
        <color indexed="64"/>
      </top>
      <bottom style="medium">
        <color rgb="FFAEAAAA"/>
      </bottom>
      <diagonal/>
    </border>
    <border>
      <left/>
      <right/>
      <top style="medium">
        <color indexed="64"/>
      </top>
      <bottom style="medium">
        <color rgb="FFAEAAAA"/>
      </bottom>
      <diagonal/>
    </border>
    <border>
      <left/>
      <right style="medium">
        <color indexed="64"/>
      </right>
      <top style="medium">
        <color indexed="64"/>
      </top>
      <bottom style="medium">
        <color rgb="FFAEAAAA"/>
      </bottom>
      <diagonal/>
    </border>
    <border>
      <left/>
      <right style="medium">
        <color indexed="64"/>
      </right>
      <top/>
      <bottom style="medium">
        <color rgb="FFAEAAAA"/>
      </bottom>
      <diagonal/>
    </border>
    <border>
      <left style="medium">
        <color rgb="FF000000"/>
      </left>
      <right style="medium">
        <color rgb="FF000000"/>
      </right>
      <top style="medium">
        <color auto="1"/>
      </top>
      <bottom/>
      <diagonal/>
    </border>
    <border>
      <left style="medium">
        <color rgb="FF000000"/>
      </left>
      <right style="medium">
        <color rgb="FF000000"/>
      </right>
      <top/>
      <bottom style="thin">
        <color rgb="FF000000"/>
      </bottom>
      <diagonal/>
    </border>
    <border>
      <left style="medium">
        <color indexed="64"/>
      </left>
      <right style="medium">
        <color rgb="FF000000"/>
      </right>
      <top style="medium">
        <color indexed="64"/>
      </top>
      <bottom/>
      <diagonal/>
    </border>
    <border>
      <left style="medium">
        <color rgb="FF000000"/>
      </left>
      <right style="medium">
        <color indexed="64"/>
      </right>
      <top style="medium">
        <color indexed="64"/>
      </top>
      <bottom/>
      <diagonal/>
    </border>
    <border>
      <left style="medium">
        <color indexed="64"/>
      </left>
      <right style="medium">
        <color rgb="FF000000"/>
      </right>
      <top/>
      <bottom style="thin">
        <color rgb="FF000000"/>
      </bottom>
      <diagonal/>
    </border>
    <border>
      <left style="medium">
        <color rgb="FF000000"/>
      </left>
      <right style="medium">
        <color indexed="64"/>
      </right>
      <top/>
      <bottom style="thin">
        <color rgb="FF000000"/>
      </bottom>
      <diagonal/>
    </border>
    <border>
      <left style="medium">
        <color rgb="FF000000"/>
      </left>
      <right/>
      <top style="medium">
        <color auto="1"/>
      </top>
      <bottom style="thin">
        <color indexed="64"/>
      </bottom>
      <diagonal/>
    </border>
    <border>
      <left/>
      <right/>
      <top style="medium">
        <color auto="1"/>
      </top>
      <bottom style="thin">
        <color indexed="64"/>
      </bottom>
      <diagonal/>
    </border>
    <border>
      <left/>
      <right style="medium">
        <color rgb="FF000000"/>
      </right>
      <top style="medium">
        <color auto="1"/>
      </top>
      <bottom style="thin">
        <color indexed="64"/>
      </bottom>
      <diagonal/>
    </border>
    <border>
      <left style="medium">
        <color indexed="64"/>
      </left>
      <right/>
      <top style="medium">
        <color auto="1"/>
      </top>
      <bottom style="thin">
        <color indexed="64"/>
      </bottom>
      <diagonal/>
    </border>
    <border>
      <left style="hair">
        <color auto="1"/>
      </left>
      <right style="hair">
        <color auto="1"/>
      </right>
      <top style="hair">
        <color auto="1"/>
      </top>
      <bottom style="hair">
        <color auto="1"/>
      </bottom>
      <diagonal/>
    </border>
    <border>
      <left style="medium">
        <color rgb="FF000000"/>
      </left>
      <right style="medium">
        <color rgb="FF000000"/>
      </right>
      <top style="medium">
        <color rgb="FFAEAAAA"/>
      </top>
      <bottom style="hair">
        <color auto="1"/>
      </bottom>
      <diagonal/>
    </border>
    <border>
      <left style="medium">
        <color rgb="FF000000"/>
      </left>
      <right style="medium">
        <color rgb="FF000000"/>
      </right>
      <top style="hair">
        <color auto="1"/>
      </top>
      <bottom style="hair">
        <color auto="1"/>
      </bottom>
      <diagonal/>
    </border>
    <border>
      <left style="medium">
        <color auto="1"/>
      </left>
      <right style="medium">
        <color auto="1"/>
      </right>
      <top style="medium">
        <color rgb="FFAEAAAA"/>
      </top>
      <bottom style="hair">
        <color auto="1"/>
      </bottom>
      <diagonal/>
    </border>
    <border>
      <left/>
      <right/>
      <top style="hair">
        <color auto="1"/>
      </top>
      <bottom style="hair">
        <color auto="1"/>
      </bottom>
      <diagonal/>
    </border>
    <border>
      <left style="medium">
        <color auto="1"/>
      </left>
      <right style="medium">
        <color auto="1"/>
      </right>
      <top style="hair">
        <color auto="1"/>
      </top>
      <bottom style="hair">
        <color auto="1"/>
      </bottom>
      <diagonal/>
    </border>
    <border>
      <left style="medium">
        <color rgb="FF000000"/>
      </left>
      <right/>
      <top/>
      <bottom style="medium">
        <color rgb="FF000000"/>
      </bottom>
      <diagonal/>
    </border>
    <border>
      <left style="medium">
        <color indexed="64"/>
      </left>
      <right style="medium">
        <color indexed="64"/>
      </right>
      <top style="medium">
        <color indexed="64"/>
      </top>
      <bottom style="hair">
        <color auto="1"/>
      </bottom>
      <diagonal/>
    </border>
    <border>
      <left style="medium">
        <color indexed="64"/>
      </left>
      <right style="medium">
        <color indexed="64"/>
      </right>
      <top style="medium">
        <color rgb="FFAEAAAA"/>
      </top>
      <bottom style="medium">
        <color indexed="64"/>
      </bottom>
      <diagonal/>
    </border>
    <border>
      <left style="medium">
        <color rgb="FF000000"/>
      </left>
      <right/>
      <top style="thin">
        <color rgb="FF000000"/>
      </top>
      <bottom style="medium">
        <color rgb="FFAEAAAA"/>
      </bottom>
      <diagonal/>
    </border>
    <border>
      <left/>
      <right/>
      <top style="thin">
        <color rgb="FF000000"/>
      </top>
      <bottom style="medium">
        <color rgb="FFAEAAAA"/>
      </bottom>
      <diagonal/>
    </border>
    <border>
      <left style="medium">
        <color rgb="FF000000"/>
      </left>
      <right/>
      <top style="thin">
        <color rgb="FF000000"/>
      </top>
      <bottom style="medium">
        <color rgb="FF000000"/>
      </bottom>
      <diagonal/>
    </border>
    <border>
      <left/>
      <right/>
      <top style="thin">
        <color rgb="FF000000"/>
      </top>
      <bottom style="medium">
        <color rgb="FF000000"/>
      </bottom>
      <diagonal/>
    </border>
  </borders>
  <cellStyleXfs count="5">
    <xf numFmtId="0" fontId="0"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5" fillId="0" borderId="0"/>
  </cellStyleXfs>
  <cellXfs count="366">
    <xf numFmtId="0" fontId="0" fillId="0" borderId="0" xfId="0"/>
    <xf numFmtId="0" fontId="2" fillId="0" borderId="0" xfId="0" applyFont="1"/>
    <xf numFmtId="9" fontId="0" fillId="0" borderId="0" xfId="0" applyNumberFormat="1"/>
    <xf numFmtId="0" fontId="2" fillId="0" borderId="1" xfId="0" applyFont="1" applyBorder="1"/>
    <xf numFmtId="0" fontId="0" fillId="0" borderId="1" xfId="0" applyBorder="1"/>
    <xf numFmtId="0" fontId="2" fillId="0" borderId="2" xfId="0" applyFont="1" applyBorder="1"/>
    <xf numFmtId="0" fontId="0" fillId="0" borderId="2" xfId="0" applyBorder="1"/>
    <xf numFmtId="165" fontId="0" fillId="0" borderId="0" xfId="1" applyNumberFormat="1" applyFont="1"/>
    <xf numFmtId="165" fontId="0" fillId="0" borderId="0" xfId="0" applyNumberFormat="1"/>
    <xf numFmtId="166" fontId="0" fillId="0" borderId="0" xfId="2" applyNumberFormat="1" applyFont="1"/>
    <xf numFmtId="0" fontId="3" fillId="0" borderId="0" xfId="0" quotePrefix="1" applyFont="1" applyAlignment="1">
      <alignment horizontal="left"/>
    </xf>
    <xf numFmtId="0" fontId="3" fillId="0" borderId="0" xfId="0" applyFont="1"/>
    <xf numFmtId="0" fontId="0" fillId="0" borderId="0" xfId="0" applyAlignment="1">
      <alignment horizontal="right"/>
    </xf>
    <xf numFmtId="0" fontId="3" fillId="0" borderId="0" xfId="0" quotePrefix="1" applyFont="1" applyAlignment="1">
      <alignment horizontal="left" indent="1"/>
    </xf>
    <xf numFmtId="3" fontId="0" fillId="0" borderId="0" xfId="0" applyNumberFormat="1"/>
    <xf numFmtId="165" fontId="2" fillId="0" borderId="0" xfId="1" applyNumberFormat="1" applyFont="1"/>
    <xf numFmtId="165" fontId="1" fillId="0" borderId="0" xfId="1" applyNumberFormat="1" applyFont="1"/>
    <xf numFmtId="165" fontId="2" fillId="0" borderId="0" xfId="0" applyNumberFormat="1" applyFont="1"/>
    <xf numFmtId="0" fontId="4" fillId="0" borderId="0" xfId="0" applyFont="1"/>
    <xf numFmtId="0" fontId="0" fillId="0" borderId="0" xfId="0" quotePrefix="1"/>
    <xf numFmtId="0" fontId="0" fillId="0" borderId="0" xfId="0" applyAlignment="1">
      <alignment horizontal="center"/>
    </xf>
    <xf numFmtId="0" fontId="6" fillId="0" borderId="0" xfId="0" applyFont="1"/>
    <xf numFmtId="0" fontId="0" fillId="0" borderId="0" xfId="0" applyAlignment="1">
      <alignment wrapText="1"/>
    </xf>
    <xf numFmtId="10" fontId="0" fillId="0" borderId="0" xfId="0" applyNumberFormat="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xf>
    <xf numFmtId="0" fontId="0" fillId="0" borderId="0" xfId="0" applyAlignment="1" applyProtection="1">
      <alignment wrapText="1"/>
      <protection locked="0"/>
    </xf>
    <xf numFmtId="164" fontId="3" fillId="0" borderId="0" xfId="0" applyNumberFormat="1" applyFont="1" applyAlignment="1">
      <alignment horizontal="left"/>
    </xf>
    <xf numFmtId="164" fontId="3" fillId="0" borderId="0" xfId="0" quotePrefix="1" applyNumberFormat="1" applyFont="1" applyAlignment="1">
      <alignment horizontal="left"/>
    </xf>
    <xf numFmtId="0" fontId="5" fillId="0" borderId="1" xfId="0" applyFont="1" applyBorder="1"/>
    <xf numFmtId="167" fontId="0" fillId="0" borderId="0" xfId="0" applyNumberFormat="1"/>
    <xf numFmtId="5" fontId="0" fillId="0" borderId="0" xfId="0" applyNumberFormat="1"/>
    <xf numFmtId="5" fontId="1" fillId="0" borderId="0" xfId="1" applyNumberFormat="1" applyFont="1" applyFill="1"/>
    <xf numFmtId="5" fontId="2" fillId="0" borderId="0" xfId="1" applyNumberFormat="1" applyFont="1" applyFill="1"/>
    <xf numFmtId="5" fontId="2" fillId="0" borderId="0" xfId="0" applyNumberFormat="1" applyFont="1"/>
    <xf numFmtId="0" fontId="2" fillId="0" borderId="0" xfId="0" applyFont="1" applyAlignment="1">
      <alignment horizontal="right"/>
    </xf>
    <xf numFmtId="0" fontId="0" fillId="0" borderId="6" xfId="0" applyBorder="1"/>
    <xf numFmtId="0" fontId="2" fillId="0" borderId="0" xfId="0" applyFont="1" applyAlignment="1">
      <alignment wrapText="1"/>
    </xf>
    <xf numFmtId="2" fontId="1" fillId="0" borderId="0" xfId="1" applyNumberFormat="1" applyFont="1" applyFill="1"/>
    <xf numFmtId="43" fontId="0" fillId="0" borderId="0" xfId="1" applyFont="1"/>
    <xf numFmtId="43" fontId="2" fillId="0" borderId="0" xfId="1" applyFont="1"/>
    <xf numFmtId="165" fontId="0" fillId="0" borderId="0" xfId="1" quotePrefix="1" applyNumberFormat="1" applyFont="1"/>
    <xf numFmtId="10" fontId="0" fillId="0" borderId="0" xfId="2" applyNumberFormat="1" applyFont="1" applyFill="1"/>
    <xf numFmtId="0" fontId="2" fillId="0" borderId="0" xfId="0" applyFont="1" applyAlignment="1">
      <alignment horizontal="left"/>
    </xf>
    <xf numFmtId="0" fontId="2" fillId="0" borderId="0" xfId="0" applyFont="1" applyAlignment="1">
      <alignment horizontal="left" vertical="center"/>
    </xf>
    <xf numFmtId="43" fontId="0" fillId="0" borderId="0" xfId="0" applyNumberFormat="1"/>
    <xf numFmtId="0" fontId="10" fillId="0" borderId="0" xfId="0" applyFont="1" applyAlignment="1">
      <alignment horizontal="left" vertical="center" wrapText="1"/>
    </xf>
    <xf numFmtId="0" fontId="10" fillId="0" borderId="0" xfId="0" applyFont="1" applyAlignment="1">
      <alignment horizontal="left" vertical="center"/>
    </xf>
    <xf numFmtId="0" fontId="8" fillId="3" borderId="7" xfId="0" applyFont="1" applyFill="1" applyBorder="1" applyAlignment="1">
      <alignment horizontal="center" vertical="center" wrapText="1"/>
    </xf>
    <xf numFmtId="0" fontId="8" fillId="0" borderId="7" xfId="0" applyFont="1" applyBorder="1" applyAlignment="1">
      <alignment horizontal="center" vertical="center" wrapText="1"/>
    </xf>
    <xf numFmtId="0" fontId="11" fillId="2" borderId="8" xfId="0" applyFont="1" applyFill="1" applyBorder="1" applyAlignment="1">
      <alignment horizontal="center" vertical="center" wrapText="1"/>
    </xf>
    <xf numFmtId="0" fontId="8" fillId="0" borderId="11" xfId="0" applyFont="1" applyBorder="1" applyAlignment="1">
      <alignment horizontal="center" vertical="center" wrapText="1"/>
    </xf>
    <xf numFmtId="170" fontId="2" fillId="0" borderId="0" xfId="0" applyNumberFormat="1" applyFont="1" applyAlignment="1">
      <alignment horizontal="left"/>
    </xf>
    <xf numFmtId="43" fontId="0" fillId="0" borderId="0" xfId="0" applyNumberFormat="1" applyAlignment="1">
      <alignment horizontal="left"/>
    </xf>
    <xf numFmtId="0" fontId="0" fillId="0" borderId="15" xfId="0" applyBorder="1"/>
    <xf numFmtId="0" fontId="0" fillId="0" borderId="0" xfId="0" applyAlignment="1">
      <alignment horizontal="center" vertical="center"/>
    </xf>
    <xf numFmtId="168" fontId="0" fillId="0" borderId="0" xfId="2" applyNumberFormat="1" applyFont="1" applyFill="1"/>
    <xf numFmtId="166" fontId="0" fillId="0" borderId="0" xfId="0" applyNumberFormat="1"/>
    <xf numFmtId="0" fontId="9" fillId="0" borderId="0" xfId="0" applyFont="1" applyAlignment="1">
      <alignment horizontal="left" vertical="center"/>
    </xf>
    <xf numFmtId="167" fontId="16" fillId="0" borderId="0" xfId="0" applyNumberFormat="1" applyFont="1"/>
    <xf numFmtId="0" fontId="17" fillId="0" borderId="0" xfId="0" applyFont="1" applyAlignment="1">
      <alignment horizontal="left" vertical="center"/>
    </xf>
    <xf numFmtId="0" fontId="20" fillId="0" borderId="0" xfId="0" applyFont="1"/>
    <xf numFmtId="0" fontId="22" fillId="0" borderId="0" xfId="0" applyFont="1"/>
    <xf numFmtId="9" fontId="0" fillId="0" borderId="0" xfId="2" applyFont="1"/>
    <xf numFmtId="5" fontId="0" fillId="0" borderId="0" xfId="3" applyNumberFormat="1" applyFont="1" applyFill="1" applyAlignment="1">
      <alignment horizontal="right"/>
    </xf>
    <xf numFmtId="165" fontId="0" fillId="4" borderId="0" xfId="0" applyNumberFormat="1" applyFill="1"/>
    <xf numFmtId="170" fontId="0" fillId="0" borderId="0" xfId="0" applyNumberFormat="1"/>
    <xf numFmtId="169" fontId="0" fillId="0" borderId="0" xfId="0" applyNumberFormat="1"/>
    <xf numFmtId="5" fontId="0" fillId="0" borderId="0" xfId="1" applyNumberFormat="1" applyFont="1"/>
    <xf numFmtId="166" fontId="0" fillId="0" borderId="0" xfId="2" applyNumberFormat="1" applyFont="1" applyFill="1" applyProtection="1"/>
    <xf numFmtId="165" fontId="0" fillId="0" borderId="0" xfId="1" applyNumberFormat="1" applyFont="1" applyFill="1"/>
    <xf numFmtId="0" fontId="22" fillId="2" borderId="0" xfId="0" applyFont="1" applyFill="1" applyAlignment="1">
      <alignment horizontal="center" vertical="center"/>
    </xf>
    <xf numFmtId="166" fontId="0" fillId="0" borderId="0" xfId="2" applyNumberFormat="1" applyFont="1" applyAlignment="1">
      <alignment horizontal="left"/>
    </xf>
    <xf numFmtId="0" fontId="25" fillId="0" borderId="0" xfId="0" applyFont="1" applyAlignment="1">
      <alignment vertical="center"/>
    </xf>
    <xf numFmtId="0" fontId="24" fillId="0" borderId="0" xfId="0" applyFont="1" applyAlignment="1">
      <alignment vertical="center"/>
    </xf>
    <xf numFmtId="171" fontId="0" fillId="0" borderId="0" xfId="0" applyNumberFormat="1"/>
    <xf numFmtId="0" fontId="26" fillId="0" borderId="0" xfId="0" applyFont="1" applyAlignment="1">
      <alignment vertical="center"/>
    </xf>
    <xf numFmtId="0" fontId="27" fillId="0" borderId="0" xfId="0" applyFont="1"/>
    <xf numFmtId="0" fontId="28" fillId="0" borderId="0" xfId="0" applyFont="1"/>
    <xf numFmtId="0" fontId="29" fillId="0" borderId="0" xfId="0" applyFont="1"/>
    <xf numFmtId="0" fontId="30" fillId="4" borderId="0" xfId="0" applyFont="1" applyFill="1" applyAlignment="1">
      <alignment horizontal="left" vertical="top"/>
    </xf>
    <xf numFmtId="0" fontId="32" fillId="0" borderId="0" xfId="0" applyFont="1" applyAlignment="1">
      <alignment vertical="center"/>
    </xf>
    <xf numFmtId="0" fontId="34" fillId="0" borderId="0" xfId="0" applyFont="1" applyAlignment="1">
      <alignment vertical="center"/>
    </xf>
    <xf numFmtId="0" fontId="35" fillId="0" borderId="0" xfId="0" applyFont="1" applyAlignment="1">
      <alignment vertical="center"/>
    </xf>
    <xf numFmtId="0" fontId="31" fillId="0" borderId="0" xfId="0" applyFont="1" applyAlignment="1">
      <alignment horizontal="left" vertical="center"/>
    </xf>
    <xf numFmtId="0" fontId="31" fillId="0" borderId="0" xfId="0" quotePrefix="1" applyFont="1" applyAlignment="1">
      <alignment horizontal="left" vertical="center" indent="2"/>
    </xf>
    <xf numFmtId="0" fontId="36" fillId="0" borderId="0" xfId="0" applyFont="1"/>
    <xf numFmtId="0" fontId="38" fillId="0" borderId="0" xfId="0" applyFont="1" applyAlignment="1">
      <alignment horizontal="left" vertical="center"/>
    </xf>
    <xf numFmtId="167" fontId="36" fillId="0" borderId="0" xfId="0" applyNumberFormat="1" applyFont="1"/>
    <xf numFmtId="0" fontId="38" fillId="0" borderId="0" xfId="0" applyFont="1" applyAlignment="1">
      <alignment horizontal="left" vertical="center" wrapText="1"/>
    </xf>
    <xf numFmtId="0" fontId="39" fillId="0" borderId="0" xfId="0" applyFont="1" applyAlignment="1">
      <alignment horizontal="left" vertical="center"/>
    </xf>
    <xf numFmtId="0" fontId="40" fillId="0" borderId="0" xfId="0" applyFont="1" applyAlignment="1">
      <alignment horizontal="left" vertical="center"/>
    </xf>
    <xf numFmtId="0" fontId="43" fillId="0" borderId="0" xfId="0" applyFont="1"/>
    <xf numFmtId="0" fontId="38" fillId="0" borderId="0" xfId="0" applyFont="1"/>
    <xf numFmtId="0" fontId="16" fillId="0" borderId="0" xfId="0" applyFont="1"/>
    <xf numFmtId="0" fontId="44" fillId="0" borderId="0" xfId="0" applyFont="1" applyAlignment="1">
      <alignment horizontal="left" vertical="center"/>
    </xf>
    <xf numFmtId="9" fontId="36" fillId="0" borderId="0" xfId="2" applyFont="1"/>
    <xf numFmtId="5" fontId="36" fillId="0" borderId="0" xfId="0" applyNumberFormat="1" applyFont="1"/>
    <xf numFmtId="5" fontId="16" fillId="0" borderId="0" xfId="0" applyNumberFormat="1" applyFont="1"/>
    <xf numFmtId="5" fontId="38" fillId="0" borderId="0" xfId="0" applyNumberFormat="1" applyFont="1" applyAlignment="1">
      <alignment horizontal="left" vertical="center"/>
    </xf>
    <xf numFmtId="166" fontId="36" fillId="0" borderId="0" xfId="2" applyNumberFormat="1" applyFont="1"/>
    <xf numFmtId="170" fontId="8" fillId="3" borderId="7" xfId="0" applyNumberFormat="1" applyFont="1" applyFill="1" applyBorder="1" applyAlignment="1">
      <alignment horizontal="left" vertical="center" wrapText="1"/>
    </xf>
    <xf numFmtId="170" fontId="8" fillId="0" borderId="7" xfId="0" applyNumberFormat="1" applyFont="1" applyBorder="1" applyAlignment="1">
      <alignment horizontal="left" vertical="center" wrapText="1"/>
    </xf>
    <xf numFmtId="0" fontId="11" fillId="2" borderId="22" xfId="0" applyFont="1" applyFill="1" applyBorder="1" applyAlignment="1">
      <alignment horizontal="center" vertical="center" wrapText="1"/>
    </xf>
    <xf numFmtId="0" fontId="11" fillId="2" borderId="23" xfId="0" applyFont="1" applyFill="1" applyBorder="1" applyAlignment="1">
      <alignment horizontal="center" vertical="center" wrapText="1"/>
    </xf>
    <xf numFmtId="0" fontId="8" fillId="5" borderId="24" xfId="0" applyFont="1" applyFill="1" applyBorder="1" applyAlignment="1">
      <alignment vertical="center" wrapText="1"/>
    </xf>
    <xf numFmtId="0" fontId="8" fillId="0" borderId="24" xfId="0" applyFont="1" applyBorder="1" applyAlignment="1">
      <alignment vertical="center" wrapText="1"/>
    </xf>
    <xf numFmtId="0" fontId="8" fillId="5" borderId="26" xfId="0" applyFont="1" applyFill="1" applyBorder="1" applyAlignment="1">
      <alignment vertical="center" wrapText="1"/>
    </xf>
    <xf numFmtId="170" fontId="8" fillId="5" borderId="25" xfId="0" applyNumberFormat="1" applyFont="1" applyFill="1" applyBorder="1" applyAlignment="1">
      <alignment horizontal="center" vertical="center" wrapText="1"/>
    </xf>
    <xf numFmtId="170" fontId="8" fillId="0" borderId="25" xfId="0" applyNumberFormat="1" applyFont="1" applyBorder="1" applyAlignment="1">
      <alignment horizontal="center" vertical="center" wrapText="1"/>
    </xf>
    <xf numFmtId="0" fontId="8" fillId="3" borderId="7" xfId="0" applyFont="1" applyFill="1" applyBorder="1" applyAlignment="1">
      <alignment horizontal="left" vertical="center" wrapText="1"/>
    </xf>
    <xf numFmtId="0" fontId="11" fillId="2" borderId="8" xfId="0" applyFont="1" applyFill="1" applyBorder="1" applyAlignment="1">
      <alignment horizontal="left" vertical="center" wrapText="1"/>
    </xf>
    <xf numFmtId="170" fontId="8" fillId="3" borderId="7" xfId="0" applyNumberFormat="1" applyFont="1" applyFill="1" applyBorder="1" applyAlignment="1">
      <alignment horizontal="right" vertical="center" wrapText="1"/>
    </xf>
    <xf numFmtId="0" fontId="8" fillId="0" borderId="7" xfId="0" applyFont="1" applyBorder="1" applyAlignment="1">
      <alignment horizontal="left" vertical="center" wrapText="1"/>
    </xf>
    <xf numFmtId="170" fontId="8" fillId="0" borderId="7" xfId="0" applyNumberFormat="1" applyFont="1" applyBorder="1" applyAlignment="1">
      <alignment horizontal="right" vertical="center" wrapText="1"/>
    </xf>
    <xf numFmtId="172" fontId="8" fillId="3" borderId="7" xfId="0" applyNumberFormat="1" applyFont="1" applyFill="1" applyBorder="1" applyAlignment="1">
      <alignment horizontal="right" vertical="center" wrapText="1"/>
    </xf>
    <xf numFmtId="172" fontId="8" fillId="0" borderId="7" xfId="0" applyNumberFormat="1" applyFont="1" applyBorder="1" applyAlignment="1">
      <alignment horizontal="right" vertical="center" wrapText="1"/>
    </xf>
    <xf numFmtId="0" fontId="11" fillId="2" borderId="8" xfId="0" applyFont="1" applyFill="1" applyBorder="1" applyAlignment="1">
      <alignment horizontal="right" vertical="center" wrapText="1"/>
    </xf>
    <xf numFmtId="165" fontId="8" fillId="3" borderId="7" xfId="1" applyNumberFormat="1" applyFont="1" applyFill="1" applyBorder="1" applyAlignment="1">
      <alignment horizontal="left" vertical="center" wrapText="1"/>
    </xf>
    <xf numFmtId="165" fontId="8" fillId="0" borderId="7" xfId="1" applyNumberFormat="1" applyFont="1" applyFill="1" applyBorder="1" applyAlignment="1">
      <alignment horizontal="left" vertical="center" wrapText="1"/>
    </xf>
    <xf numFmtId="165" fontId="8" fillId="0" borderId="7" xfId="1" applyNumberFormat="1" applyFont="1" applyFill="1" applyBorder="1" applyAlignment="1">
      <alignment horizontal="right" vertical="center" wrapText="1"/>
    </xf>
    <xf numFmtId="0" fontId="8" fillId="0" borderId="0" xfId="1" applyNumberFormat="1" applyFont="1" applyFill="1" applyBorder="1" applyAlignment="1">
      <alignment horizontal="left" vertical="center" wrapText="1"/>
    </xf>
    <xf numFmtId="9" fontId="8" fillId="0" borderId="0" xfId="2" applyFont="1" applyFill="1" applyBorder="1" applyAlignment="1">
      <alignment horizontal="right" vertical="center" wrapText="1"/>
    </xf>
    <xf numFmtId="165" fontId="8" fillId="5" borderId="25" xfId="1" applyNumberFormat="1" applyFont="1" applyFill="1" applyBorder="1" applyAlignment="1">
      <alignment horizontal="center" vertical="center" wrapText="1"/>
    </xf>
    <xf numFmtId="165" fontId="8" fillId="0" borderId="25" xfId="1" applyNumberFormat="1" applyFont="1" applyBorder="1" applyAlignment="1">
      <alignment horizontal="center" vertical="center" wrapText="1"/>
    </xf>
    <xf numFmtId="165" fontId="8" fillId="5" borderId="24" xfId="1" applyNumberFormat="1" applyFont="1" applyFill="1" applyBorder="1" applyAlignment="1">
      <alignment vertical="center" wrapText="1"/>
    </xf>
    <xf numFmtId="165" fontId="8" fillId="0" borderId="24" xfId="1" applyNumberFormat="1" applyFont="1" applyBorder="1" applyAlignment="1">
      <alignment vertical="center" wrapText="1"/>
    </xf>
    <xf numFmtId="9" fontId="8" fillId="5" borderId="24" xfId="2" applyFont="1" applyFill="1" applyBorder="1" applyAlignment="1">
      <alignment vertical="center" wrapText="1"/>
    </xf>
    <xf numFmtId="9" fontId="8" fillId="0" borderId="24" xfId="2" applyFont="1" applyBorder="1" applyAlignment="1">
      <alignment vertical="center" wrapText="1"/>
    </xf>
    <xf numFmtId="166" fontId="8" fillId="5" borderId="24" xfId="2" applyNumberFormat="1" applyFont="1" applyFill="1" applyBorder="1" applyAlignment="1">
      <alignment vertical="center" wrapText="1"/>
    </xf>
    <xf numFmtId="10" fontId="8" fillId="5" borderId="24" xfId="2" applyNumberFormat="1" applyFont="1" applyFill="1" applyBorder="1" applyAlignment="1">
      <alignment vertical="center" wrapText="1"/>
    </xf>
    <xf numFmtId="0" fontId="48" fillId="5" borderId="24" xfId="0" applyFont="1" applyFill="1" applyBorder="1" applyAlignment="1">
      <alignment vertical="center" wrapText="1"/>
    </xf>
    <xf numFmtId="170" fontId="48" fillId="5" borderId="25" xfId="0" applyNumberFormat="1" applyFont="1" applyFill="1" applyBorder="1" applyAlignment="1">
      <alignment horizontal="center" vertical="center" wrapText="1"/>
    </xf>
    <xf numFmtId="165" fontId="48" fillId="5" borderId="25" xfId="1" applyNumberFormat="1" applyFont="1" applyFill="1" applyBorder="1" applyAlignment="1">
      <alignment horizontal="center" vertical="center" wrapText="1"/>
    </xf>
    <xf numFmtId="165" fontId="48" fillId="5" borderId="24" xfId="1" applyNumberFormat="1" applyFont="1" applyFill="1" applyBorder="1" applyAlignment="1">
      <alignment vertical="center" wrapText="1"/>
    </xf>
    <xf numFmtId="170" fontId="8" fillId="5" borderId="25" xfId="0" applyNumberFormat="1" applyFont="1" applyFill="1" applyBorder="1" applyAlignment="1">
      <alignment horizontal="left" vertical="center" wrapText="1"/>
    </xf>
    <xf numFmtId="170" fontId="8" fillId="0" borderId="25" xfId="0" applyNumberFormat="1" applyFont="1" applyBorder="1" applyAlignment="1">
      <alignment horizontal="left" vertical="center" wrapText="1"/>
    </xf>
    <xf numFmtId="170" fontId="48" fillId="5" borderId="25" xfId="0" applyNumberFormat="1" applyFont="1" applyFill="1" applyBorder="1" applyAlignment="1">
      <alignment horizontal="left" vertical="center" wrapText="1"/>
    </xf>
    <xf numFmtId="9" fontId="48" fillId="5" borderId="24" xfId="2" applyFont="1" applyFill="1" applyBorder="1" applyAlignment="1">
      <alignment vertical="center" wrapText="1"/>
    </xf>
    <xf numFmtId="0" fontId="11" fillId="2" borderId="0" xfId="0" applyFont="1" applyFill="1" applyAlignment="1">
      <alignment horizontal="center" vertical="center" wrapText="1"/>
    </xf>
    <xf numFmtId="0" fontId="0" fillId="0" borderId="31" xfId="0" applyBorder="1"/>
    <xf numFmtId="0" fontId="11" fillId="2" borderId="24" xfId="0" applyFont="1" applyFill="1" applyBorder="1" applyAlignment="1">
      <alignment horizontal="center" vertical="center" wrapText="1"/>
    </xf>
    <xf numFmtId="0" fontId="11" fillId="2" borderId="32" xfId="0" applyFont="1" applyFill="1" applyBorder="1" applyAlignment="1">
      <alignment horizontal="center" vertical="center" wrapText="1"/>
    </xf>
    <xf numFmtId="0" fontId="50" fillId="0" borderId="0" xfId="0" applyFont="1"/>
    <xf numFmtId="0" fontId="50" fillId="5" borderId="0" xfId="0" applyFont="1" applyFill="1"/>
    <xf numFmtId="5" fontId="50" fillId="0" borderId="0" xfId="0" applyNumberFormat="1" applyFont="1"/>
    <xf numFmtId="1" fontId="8" fillId="5" borderId="25" xfId="0" applyNumberFormat="1" applyFont="1" applyFill="1" applyBorder="1" applyAlignment="1">
      <alignment horizontal="center" vertical="center" wrapText="1"/>
    </xf>
    <xf numFmtId="0" fontId="11" fillId="2" borderId="33" xfId="0" applyFont="1" applyFill="1" applyBorder="1" applyAlignment="1">
      <alignment horizontal="center" vertical="center" wrapText="1"/>
    </xf>
    <xf numFmtId="1" fontId="8" fillId="5" borderId="34" xfId="0" applyNumberFormat="1" applyFont="1" applyFill="1" applyBorder="1" applyAlignment="1">
      <alignment horizontal="center" vertical="center" wrapText="1"/>
    </xf>
    <xf numFmtId="1" fontId="8" fillId="0" borderId="34" xfId="0" applyNumberFormat="1" applyFont="1" applyBorder="1" applyAlignment="1">
      <alignment horizontal="center" vertical="center" wrapText="1"/>
    </xf>
    <xf numFmtId="1" fontId="8" fillId="5" borderId="35" xfId="0" applyNumberFormat="1" applyFont="1" applyFill="1" applyBorder="1" applyAlignment="1">
      <alignment horizontal="center" vertical="center" wrapText="1"/>
    </xf>
    <xf numFmtId="9" fontId="8" fillId="5" borderId="36" xfId="2" applyFont="1" applyFill="1" applyBorder="1" applyAlignment="1">
      <alignment vertical="center" wrapText="1"/>
    </xf>
    <xf numFmtId="0" fontId="51" fillId="0" borderId="0" xfId="0" applyFont="1"/>
    <xf numFmtId="0" fontId="52" fillId="0" borderId="0" xfId="0" applyFont="1"/>
    <xf numFmtId="0" fontId="50" fillId="0" borderId="3" xfId="0" applyFont="1" applyBorder="1" applyAlignment="1">
      <alignment horizontal="right"/>
    </xf>
    <xf numFmtId="170" fontId="8" fillId="0" borderId="25" xfId="0" applyNumberFormat="1" applyFont="1" applyBorder="1" applyAlignment="1">
      <alignment horizontal="right" vertical="center" wrapText="1"/>
    </xf>
    <xf numFmtId="173" fontId="8" fillId="5" borderId="24" xfId="1" applyNumberFormat="1" applyFont="1" applyFill="1" applyBorder="1" applyAlignment="1">
      <alignment horizontal="right" vertical="center" wrapText="1"/>
    </xf>
    <xf numFmtId="170" fontId="8" fillId="5" borderId="25" xfId="0" applyNumberFormat="1" applyFont="1" applyFill="1" applyBorder="1" applyAlignment="1">
      <alignment horizontal="right" vertical="center" wrapText="1"/>
    </xf>
    <xf numFmtId="39" fontId="8" fillId="5" borderId="24" xfId="1" applyNumberFormat="1" applyFont="1" applyFill="1" applyBorder="1" applyAlignment="1">
      <alignment vertical="center" wrapText="1"/>
    </xf>
    <xf numFmtId="39" fontId="8" fillId="5" borderId="25" xfId="0" applyNumberFormat="1" applyFont="1" applyFill="1" applyBorder="1" applyAlignment="1">
      <alignment horizontal="right" vertical="center" wrapText="1"/>
    </xf>
    <xf numFmtId="39" fontId="8" fillId="5" borderId="24" xfId="1" applyNumberFormat="1" applyFont="1" applyFill="1" applyBorder="1" applyAlignment="1">
      <alignment horizontal="right" vertical="center" wrapText="1"/>
    </xf>
    <xf numFmtId="39" fontId="8" fillId="5" borderId="25" xfId="1" applyNumberFormat="1" applyFont="1" applyFill="1" applyBorder="1" applyAlignment="1">
      <alignment horizontal="right" vertical="center" wrapText="1"/>
    </xf>
    <xf numFmtId="39" fontId="8" fillId="0" borderId="25" xfId="0" applyNumberFormat="1" applyFont="1" applyBorder="1" applyAlignment="1">
      <alignment horizontal="right" vertical="center" wrapText="1"/>
    </xf>
    <xf numFmtId="39" fontId="8" fillId="0" borderId="24" xfId="1" applyNumberFormat="1" applyFont="1" applyBorder="1" applyAlignment="1">
      <alignment horizontal="right" vertical="center" wrapText="1"/>
    </xf>
    <xf numFmtId="39" fontId="8" fillId="0" borderId="24" xfId="1" applyNumberFormat="1" applyFont="1" applyFill="1" applyBorder="1" applyAlignment="1">
      <alignment vertical="center" wrapText="1"/>
    </xf>
    <xf numFmtId="39" fontId="8" fillId="0" borderId="24" xfId="1" applyNumberFormat="1" applyFont="1" applyFill="1" applyBorder="1" applyAlignment="1">
      <alignment horizontal="right" vertical="center" wrapText="1"/>
    </xf>
    <xf numFmtId="39" fontId="8" fillId="0" borderId="25" xfId="1" applyNumberFormat="1" applyFont="1" applyFill="1" applyBorder="1" applyAlignment="1">
      <alignment horizontal="right" vertical="center" wrapText="1"/>
    </xf>
    <xf numFmtId="170" fontId="8" fillId="5" borderId="37" xfId="0" applyNumberFormat="1" applyFont="1" applyFill="1" applyBorder="1" applyAlignment="1">
      <alignment horizontal="left" vertical="center" wrapText="1"/>
    </xf>
    <xf numFmtId="39" fontId="8" fillId="5" borderId="36" xfId="1" applyNumberFormat="1" applyFont="1" applyFill="1" applyBorder="1" applyAlignment="1">
      <alignment vertical="center" wrapText="1"/>
    </xf>
    <xf numFmtId="39" fontId="8" fillId="5" borderId="37" xfId="0" applyNumberFormat="1" applyFont="1" applyFill="1" applyBorder="1" applyAlignment="1">
      <alignment horizontal="right" vertical="center" wrapText="1"/>
    </xf>
    <xf numFmtId="39" fontId="8" fillId="5" borderId="36" xfId="1" applyNumberFormat="1" applyFont="1" applyFill="1" applyBorder="1" applyAlignment="1">
      <alignment horizontal="right" vertical="center" wrapText="1"/>
    </xf>
    <xf numFmtId="39" fontId="8" fillId="5" borderId="37" xfId="1" applyNumberFormat="1" applyFont="1" applyFill="1" applyBorder="1" applyAlignment="1">
      <alignment horizontal="right" vertical="center" wrapText="1"/>
    </xf>
    <xf numFmtId="170" fontId="8" fillId="0" borderId="37" xfId="0" applyNumberFormat="1" applyFont="1" applyBorder="1" applyAlignment="1">
      <alignment horizontal="left" vertical="center" wrapText="1"/>
    </xf>
    <xf numFmtId="39" fontId="8" fillId="0" borderId="37" xfId="0" applyNumberFormat="1" applyFont="1" applyBorder="1" applyAlignment="1">
      <alignment horizontal="right" vertical="center" wrapText="1"/>
    </xf>
    <xf numFmtId="39" fontId="8" fillId="0" borderId="36" xfId="1" applyNumberFormat="1" applyFont="1" applyBorder="1" applyAlignment="1">
      <alignment horizontal="right" vertical="center" wrapText="1"/>
    </xf>
    <xf numFmtId="9" fontId="50" fillId="0" borderId="0" xfId="0" applyNumberFormat="1" applyFont="1"/>
    <xf numFmtId="165" fontId="50" fillId="0" borderId="0" xfId="1" applyNumberFormat="1" applyFont="1"/>
    <xf numFmtId="37" fontId="8" fillId="5" borderId="24" xfId="1" applyNumberFormat="1" applyFont="1" applyFill="1" applyBorder="1" applyAlignment="1">
      <alignment vertical="center" wrapText="1"/>
    </xf>
    <xf numFmtId="9" fontId="8" fillId="0" borderId="25" xfId="2" applyFont="1" applyFill="1" applyBorder="1" applyAlignment="1">
      <alignment horizontal="right" vertical="center" wrapText="1"/>
    </xf>
    <xf numFmtId="166" fontId="8" fillId="0" borderId="25" xfId="2" applyNumberFormat="1" applyFont="1" applyFill="1" applyBorder="1" applyAlignment="1">
      <alignment horizontal="right" vertical="center" wrapText="1"/>
    </xf>
    <xf numFmtId="166" fontId="8" fillId="0" borderId="37" xfId="2" applyNumberFormat="1" applyFont="1" applyFill="1" applyBorder="1" applyAlignment="1">
      <alignment horizontal="right" vertical="center" wrapText="1"/>
    </xf>
    <xf numFmtId="10" fontId="8" fillId="0" borderId="25" xfId="2" applyNumberFormat="1" applyFont="1" applyFill="1" applyBorder="1" applyAlignment="1">
      <alignment horizontal="right" vertical="center" wrapText="1"/>
    </xf>
    <xf numFmtId="170" fontId="8" fillId="5" borderId="38" xfId="0" applyNumberFormat="1" applyFont="1" applyFill="1" applyBorder="1" applyAlignment="1">
      <alignment horizontal="left" vertical="center" wrapText="1"/>
    </xf>
    <xf numFmtId="10" fontId="8" fillId="5" borderId="7" xfId="2" applyNumberFormat="1" applyFont="1" applyFill="1" applyBorder="1" applyAlignment="1">
      <alignment vertical="center" wrapText="1"/>
    </xf>
    <xf numFmtId="170" fontId="8" fillId="5" borderId="39" xfId="0" applyNumberFormat="1" applyFont="1" applyFill="1" applyBorder="1" applyAlignment="1">
      <alignment horizontal="left" vertical="center" wrapText="1"/>
    </xf>
    <xf numFmtId="10" fontId="8" fillId="5" borderId="40" xfId="2" applyNumberFormat="1" applyFont="1" applyFill="1" applyBorder="1" applyAlignment="1">
      <alignment vertical="center" wrapText="1"/>
    </xf>
    <xf numFmtId="0" fontId="50" fillId="0" borderId="0" xfId="0" applyFont="1" applyAlignment="1">
      <alignment horizontal="left" wrapText="1"/>
    </xf>
    <xf numFmtId="10" fontId="8" fillId="5" borderId="36" xfId="2" applyNumberFormat="1" applyFont="1" applyFill="1" applyBorder="1" applyAlignment="1">
      <alignment vertical="center" wrapText="1"/>
    </xf>
    <xf numFmtId="0" fontId="53" fillId="0" borderId="0" xfId="0" applyFont="1" applyAlignment="1">
      <alignment horizontal="left" vertical="center"/>
    </xf>
    <xf numFmtId="0" fontId="53" fillId="0" borderId="0" xfId="0" applyFont="1" applyAlignment="1">
      <alignment horizontal="left" vertical="center" wrapText="1"/>
    </xf>
    <xf numFmtId="1" fontId="8" fillId="5" borderId="25" xfId="0" applyNumberFormat="1" applyFont="1" applyFill="1" applyBorder="1" applyAlignment="1">
      <alignment horizontal="left" vertical="center" wrapText="1"/>
    </xf>
    <xf numFmtId="1" fontId="8" fillId="0" borderId="25" xfId="0" applyNumberFormat="1" applyFont="1" applyBorder="1" applyAlignment="1">
      <alignment horizontal="left" vertical="center" wrapText="1"/>
    </xf>
    <xf numFmtId="1" fontId="8" fillId="5" borderId="25" xfId="0" applyNumberFormat="1" applyFont="1" applyFill="1" applyBorder="1" applyAlignment="1">
      <alignment horizontal="right" vertical="center" wrapText="1"/>
    </xf>
    <xf numFmtId="1" fontId="8" fillId="0" borderId="25" xfId="0" applyNumberFormat="1" applyFont="1" applyBorder="1" applyAlignment="1">
      <alignment horizontal="right" vertical="center" wrapText="1"/>
    </xf>
    <xf numFmtId="166" fontId="8" fillId="5" borderId="24" xfId="2" applyNumberFormat="1" applyFont="1" applyFill="1" applyBorder="1" applyAlignment="1">
      <alignment horizontal="right" vertical="center" wrapText="1"/>
    </xf>
    <xf numFmtId="1" fontId="8" fillId="5" borderId="37" xfId="0" applyNumberFormat="1" applyFont="1" applyFill="1" applyBorder="1" applyAlignment="1">
      <alignment horizontal="right" vertical="center" wrapText="1"/>
    </xf>
    <xf numFmtId="166" fontId="8" fillId="5" borderId="36" xfId="2" applyNumberFormat="1" applyFont="1" applyFill="1" applyBorder="1" applyAlignment="1">
      <alignment vertical="center" wrapText="1"/>
    </xf>
    <xf numFmtId="166" fontId="8" fillId="5" borderId="36" xfId="2" applyNumberFormat="1" applyFont="1" applyFill="1" applyBorder="1" applyAlignment="1">
      <alignment horizontal="right" vertical="center" wrapText="1"/>
    </xf>
    <xf numFmtId="173" fontId="8" fillId="0" borderId="25" xfId="1" applyNumberFormat="1" applyFont="1" applyFill="1" applyBorder="1" applyAlignment="1">
      <alignment horizontal="right" vertical="center" wrapText="1"/>
    </xf>
    <xf numFmtId="173" fontId="8" fillId="5" borderId="36" xfId="1" applyNumberFormat="1" applyFont="1" applyFill="1" applyBorder="1" applyAlignment="1">
      <alignment horizontal="right" vertical="center" wrapText="1"/>
    </xf>
    <xf numFmtId="165" fontId="8" fillId="5" borderId="36" xfId="1" applyNumberFormat="1" applyFont="1" applyFill="1" applyBorder="1" applyAlignment="1">
      <alignment horizontal="right" vertical="center" wrapText="1"/>
    </xf>
    <xf numFmtId="9" fontId="8" fillId="5" borderId="24" xfId="2" applyFont="1" applyFill="1" applyBorder="1" applyAlignment="1">
      <alignment horizontal="right" vertical="center" wrapText="1"/>
    </xf>
    <xf numFmtId="1" fontId="8" fillId="5" borderId="38" xfId="0" applyNumberFormat="1" applyFont="1" applyFill="1" applyBorder="1" applyAlignment="1">
      <alignment horizontal="left" vertical="center" wrapText="1"/>
    </xf>
    <xf numFmtId="9" fontId="8" fillId="5" borderId="7" xfId="2" applyFont="1" applyFill="1" applyBorder="1" applyAlignment="1">
      <alignment horizontal="right" vertical="center" wrapText="1"/>
    </xf>
    <xf numFmtId="1" fontId="8" fillId="0" borderId="39" xfId="0" applyNumberFormat="1" applyFont="1" applyBorder="1" applyAlignment="1">
      <alignment horizontal="left" vertical="center" wrapText="1"/>
    </xf>
    <xf numFmtId="165" fontId="8" fillId="0" borderId="39" xfId="1" applyNumberFormat="1" applyFont="1" applyFill="1" applyBorder="1" applyAlignment="1">
      <alignment horizontal="right" vertical="center" wrapText="1"/>
    </xf>
    <xf numFmtId="9" fontId="8" fillId="0" borderId="39" xfId="2" applyFont="1" applyFill="1" applyBorder="1" applyAlignment="1">
      <alignment horizontal="right" vertical="center" wrapText="1"/>
    </xf>
    <xf numFmtId="0" fontId="8" fillId="5" borderId="24" xfId="1" applyNumberFormat="1" applyFont="1" applyFill="1" applyBorder="1" applyAlignment="1">
      <alignment vertical="center" wrapText="1"/>
    </xf>
    <xf numFmtId="0" fontId="8" fillId="0" borderId="25" xfId="1" applyNumberFormat="1" applyFont="1" applyFill="1" applyBorder="1" applyAlignment="1">
      <alignment horizontal="right" vertical="center" wrapText="1"/>
    </xf>
    <xf numFmtId="0" fontId="8" fillId="5" borderId="7" xfId="1" applyNumberFormat="1" applyFont="1" applyFill="1" applyBorder="1" applyAlignment="1">
      <alignment vertical="center" wrapText="1"/>
    </xf>
    <xf numFmtId="37" fontId="8" fillId="0" borderId="25" xfId="1" applyNumberFormat="1" applyFont="1" applyFill="1" applyBorder="1" applyAlignment="1">
      <alignment horizontal="right" vertical="center" wrapText="1"/>
    </xf>
    <xf numFmtId="0" fontId="54" fillId="2" borderId="8" xfId="0" applyFont="1" applyFill="1" applyBorder="1" applyAlignment="1">
      <alignment horizontal="center" vertical="center" wrapText="1"/>
    </xf>
    <xf numFmtId="1" fontId="8" fillId="5" borderId="33" xfId="0" applyNumberFormat="1" applyFont="1" applyFill="1" applyBorder="1" applyAlignment="1">
      <alignment horizontal="left" vertical="center" wrapText="1"/>
    </xf>
    <xf numFmtId="166" fontId="8" fillId="5" borderId="41" xfId="2" applyNumberFormat="1" applyFont="1" applyFill="1" applyBorder="1" applyAlignment="1">
      <alignment horizontal="right" vertical="center" wrapText="1"/>
    </xf>
    <xf numFmtId="1" fontId="8" fillId="0" borderId="42" xfId="0" applyNumberFormat="1" applyFont="1" applyBorder="1" applyAlignment="1">
      <alignment horizontal="left" vertical="center" wrapText="1"/>
    </xf>
    <xf numFmtId="166" fontId="8" fillId="0" borderId="20" xfId="2" applyNumberFormat="1" applyFont="1" applyFill="1" applyBorder="1" applyAlignment="1">
      <alignment horizontal="right" vertical="center" wrapText="1"/>
    </xf>
    <xf numFmtId="170" fontId="8" fillId="3" borderId="10" xfId="0" applyNumberFormat="1" applyFont="1" applyFill="1" applyBorder="1" applyAlignment="1">
      <alignment horizontal="right" vertical="center" wrapText="1"/>
    </xf>
    <xf numFmtId="170" fontId="8" fillId="0" borderId="10" xfId="0" applyNumberFormat="1" applyFont="1" applyBorder="1" applyAlignment="1">
      <alignment horizontal="right" vertical="center" wrapText="1"/>
    </xf>
    <xf numFmtId="170" fontId="8" fillId="0" borderId="11" xfId="0" applyNumberFormat="1" applyFont="1" applyBorder="1" applyAlignment="1">
      <alignment horizontal="right" vertical="center" wrapText="1"/>
    </xf>
    <xf numFmtId="170" fontId="8" fillId="0" borderId="12" xfId="0" applyNumberFormat="1" applyFont="1" applyBorder="1" applyAlignment="1">
      <alignment horizontal="right" vertical="center" wrapText="1"/>
    </xf>
    <xf numFmtId="0" fontId="54" fillId="2" borderId="8" xfId="0" applyFont="1" applyFill="1" applyBorder="1" applyAlignment="1">
      <alignment horizontal="right" vertical="center" wrapText="1"/>
    </xf>
    <xf numFmtId="0" fontId="54" fillId="2" borderId="9" xfId="0" applyFont="1" applyFill="1" applyBorder="1" applyAlignment="1">
      <alignment horizontal="right" vertical="center" wrapText="1"/>
    </xf>
    <xf numFmtId="0" fontId="11" fillId="2" borderId="23" xfId="0" applyFont="1" applyFill="1" applyBorder="1" applyAlignment="1">
      <alignment horizontal="right" vertical="center" wrapText="1"/>
    </xf>
    <xf numFmtId="170" fontId="47" fillId="5" borderId="25" xfId="0" applyNumberFormat="1" applyFont="1" applyFill="1" applyBorder="1" applyAlignment="1">
      <alignment horizontal="right" vertical="center" wrapText="1"/>
    </xf>
    <xf numFmtId="170" fontId="47" fillId="0" borderId="25" xfId="0" applyNumberFormat="1" applyFont="1" applyBorder="1" applyAlignment="1">
      <alignment horizontal="right" vertical="center" wrapText="1"/>
    </xf>
    <xf numFmtId="170" fontId="8" fillId="5" borderId="27" xfId="0" applyNumberFormat="1" applyFont="1" applyFill="1" applyBorder="1" applyAlignment="1">
      <alignment horizontal="right" vertical="center" wrapText="1"/>
    </xf>
    <xf numFmtId="0" fontId="11" fillId="2" borderId="9" xfId="0" applyFont="1" applyFill="1" applyBorder="1" applyAlignment="1">
      <alignment horizontal="right" vertical="center" wrapText="1"/>
    </xf>
    <xf numFmtId="170" fontId="8" fillId="5" borderId="34" xfId="0" applyNumberFormat="1" applyFont="1" applyFill="1" applyBorder="1" applyAlignment="1">
      <alignment horizontal="left" vertical="center" wrapText="1"/>
    </xf>
    <xf numFmtId="170" fontId="8" fillId="0" borderId="34" xfId="0" applyNumberFormat="1" applyFont="1" applyBorder="1" applyAlignment="1">
      <alignment horizontal="left" vertical="center" wrapText="1"/>
    </xf>
    <xf numFmtId="170" fontId="8" fillId="0" borderId="42" xfId="0" applyNumberFormat="1" applyFont="1" applyBorder="1" applyAlignment="1">
      <alignment horizontal="left" vertical="center" wrapText="1"/>
    </xf>
    <xf numFmtId="170" fontId="8" fillId="0" borderId="39" xfId="0" applyNumberFormat="1" applyFont="1" applyBorder="1" applyAlignment="1">
      <alignment horizontal="left" vertical="center" wrapText="1"/>
    </xf>
    <xf numFmtId="165" fontId="8" fillId="5" borderId="34" xfId="1" applyNumberFormat="1" applyFont="1" applyFill="1" applyBorder="1" applyAlignment="1">
      <alignment horizontal="left" vertical="center" wrapText="1"/>
    </xf>
    <xf numFmtId="165" fontId="8" fillId="0" borderId="34" xfId="1" applyNumberFormat="1" applyFont="1" applyBorder="1" applyAlignment="1">
      <alignment horizontal="left" vertical="center" wrapText="1"/>
    </xf>
    <xf numFmtId="165" fontId="8" fillId="5" borderId="25" xfId="1" applyNumberFormat="1" applyFont="1" applyFill="1" applyBorder="1" applyAlignment="1">
      <alignment horizontal="right" vertical="center" wrapText="1"/>
    </xf>
    <xf numFmtId="165" fontId="8" fillId="0" borderId="25" xfId="1" applyNumberFormat="1" applyFont="1" applyBorder="1" applyAlignment="1">
      <alignment horizontal="right" vertical="center" wrapText="1"/>
    </xf>
    <xf numFmtId="39" fontId="8" fillId="0" borderId="0" xfId="1" applyNumberFormat="1" applyFont="1" applyFill="1" applyBorder="1" applyAlignment="1">
      <alignment horizontal="right" vertical="center" wrapText="1"/>
    </xf>
    <xf numFmtId="168" fontId="8" fillId="5" borderId="25" xfId="0" applyNumberFormat="1" applyFont="1" applyFill="1" applyBorder="1" applyAlignment="1">
      <alignment horizontal="center" vertical="center" wrapText="1"/>
    </xf>
    <xf numFmtId="168" fontId="8" fillId="5" borderId="25" xfId="0" applyNumberFormat="1" applyFont="1" applyFill="1" applyBorder="1" applyAlignment="1">
      <alignment horizontal="right" vertical="center" wrapText="1"/>
    </xf>
    <xf numFmtId="1" fontId="8" fillId="0" borderId="25" xfId="0" applyNumberFormat="1" applyFont="1" applyBorder="1" applyAlignment="1">
      <alignment horizontal="center" vertical="center" wrapText="1"/>
    </xf>
    <xf numFmtId="168" fontId="8" fillId="0" borderId="25" xfId="0" applyNumberFormat="1" applyFont="1" applyBorder="1" applyAlignment="1">
      <alignment horizontal="right" vertical="center" wrapText="1"/>
    </xf>
    <xf numFmtId="168" fontId="8" fillId="0" borderId="25" xfId="0" applyNumberFormat="1" applyFont="1" applyBorder="1" applyAlignment="1">
      <alignment horizontal="center" vertical="center" wrapText="1"/>
    </xf>
    <xf numFmtId="168" fontId="8" fillId="5" borderId="24" xfId="0" applyNumberFormat="1" applyFont="1" applyFill="1" applyBorder="1" applyAlignment="1">
      <alignment vertical="center" wrapText="1"/>
    </xf>
    <xf numFmtId="168" fontId="8" fillId="0" borderId="24" xfId="0" applyNumberFormat="1" applyFont="1" applyBorder="1" applyAlignment="1">
      <alignment vertical="center" wrapText="1"/>
    </xf>
    <xf numFmtId="165" fontId="8" fillId="0" borderId="25" xfId="1" applyNumberFormat="1" applyFont="1" applyFill="1" applyBorder="1" applyAlignment="1">
      <alignment horizontal="center" vertical="center" wrapText="1"/>
    </xf>
    <xf numFmtId="165" fontId="8" fillId="0" borderId="24" xfId="1" applyNumberFormat="1" applyFont="1" applyFill="1" applyBorder="1" applyAlignment="1">
      <alignment vertical="center" wrapText="1"/>
    </xf>
    <xf numFmtId="9" fontId="50" fillId="5" borderId="0" xfId="0" applyNumberFormat="1" applyFont="1" applyFill="1"/>
    <xf numFmtId="0" fontId="50" fillId="0" borderId="19" xfId="0" applyFont="1" applyBorder="1"/>
    <xf numFmtId="9" fontId="8" fillId="5" borderId="25" xfId="2" applyFont="1" applyFill="1" applyBorder="1" applyAlignment="1">
      <alignment horizontal="right" vertical="center" wrapText="1"/>
    </xf>
    <xf numFmtId="9" fontId="8" fillId="0" borderId="25" xfId="2" applyFont="1" applyBorder="1" applyAlignment="1">
      <alignment horizontal="right" vertical="center" wrapText="1"/>
    </xf>
    <xf numFmtId="0" fontId="59" fillId="2" borderId="47" xfId="0" applyFont="1" applyFill="1" applyBorder="1" applyAlignment="1">
      <alignment horizontal="right"/>
    </xf>
    <xf numFmtId="0" fontId="58" fillId="2" borderId="47" xfId="0" applyFont="1" applyFill="1" applyBorder="1"/>
    <xf numFmtId="0" fontId="59" fillId="2" borderId="48" xfId="0" applyFont="1" applyFill="1" applyBorder="1"/>
    <xf numFmtId="0" fontId="59" fillId="2" borderId="48" xfId="0" applyFont="1" applyFill="1" applyBorder="1" applyAlignment="1">
      <alignment horizontal="right"/>
    </xf>
    <xf numFmtId="0" fontId="58" fillId="2" borderId="49" xfId="0" applyFont="1" applyFill="1" applyBorder="1"/>
    <xf numFmtId="0" fontId="58" fillId="2" borderId="50" xfId="0" applyFont="1" applyFill="1" applyBorder="1"/>
    <xf numFmtId="0" fontId="59" fillId="2" borderId="51" xfId="0" applyFont="1" applyFill="1" applyBorder="1"/>
    <xf numFmtId="0" fontId="59" fillId="2" borderId="52" xfId="0" applyFont="1" applyFill="1" applyBorder="1" applyAlignment="1">
      <alignment horizontal="center"/>
    </xf>
    <xf numFmtId="165" fontId="8" fillId="5" borderId="34" xfId="1" applyNumberFormat="1" applyFont="1" applyFill="1" applyBorder="1" applyAlignment="1">
      <alignment horizontal="center" vertical="center" wrapText="1"/>
    </xf>
    <xf numFmtId="165" fontId="8" fillId="5" borderId="46" xfId="1" applyNumberFormat="1" applyFont="1" applyFill="1" applyBorder="1" applyAlignment="1">
      <alignment horizontal="center" vertical="center" wrapText="1"/>
    </xf>
    <xf numFmtId="165" fontId="8" fillId="0" borderId="34" xfId="1" applyNumberFormat="1" applyFont="1" applyBorder="1" applyAlignment="1">
      <alignment horizontal="center" vertical="center" wrapText="1"/>
    </xf>
    <xf numFmtId="165" fontId="8" fillId="0" borderId="46" xfId="1" applyNumberFormat="1" applyFont="1" applyBorder="1" applyAlignment="1">
      <alignment horizontal="center" vertical="center" wrapText="1"/>
    </xf>
    <xf numFmtId="165" fontId="8" fillId="0" borderId="42" xfId="1" applyNumberFormat="1" applyFont="1" applyBorder="1" applyAlignment="1">
      <alignment horizontal="center" vertical="center" wrapText="1"/>
    </xf>
    <xf numFmtId="165" fontId="8" fillId="0" borderId="39" xfId="1" applyNumberFormat="1" applyFont="1" applyBorder="1" applyAlignment="1">
      <alignment horizontal="center" vertical="center" wrapText="1"/>
    </xf>
    <xf numFmtId="165" fontId="8" fillId="0" borderId="39" xfId="1" applyNumberFormat="1" applyFont="1" applyBorder="1" applyAlignment="1">
      <alignment horizontal="right" vertical="center" wrapText="1"/>
    </xf>
    <xf numFmtId="9" fontId="8" fillId="0" borderId="39" xfId="2" applyFont="1" applyBorder="1" applyAlignment="1">
      <alignment horizontal="right" vertical="center" wrapText="1"/>
    </xf>
    <xf numFmtId="165" fontId="8" fillId="0" borderId="20" xfId="1" applyNumberFormat="1" applyFont="1" applyBorder="1" applyAlignment="1">
      <alignment horizontal="center" vertical="center" wrapText="1"/>
    </xf>
    <xf numFmtId="0" fontId="52" fillId="0" borderId="13" xfId="0" applyFont="1" applyBorder="1"/>
    <xf numFmtId="0" fontId="50" fillId="0" borderId="18" xfId="0" applyFont="1" applyBorder="1"/>
    <xf numFmtId="0" fontId="50" fillId="0" borderId="13" xfId="0" applyFont="1" applyBorder="1"/>
    <xf numFmtId="0" fontId="50" fillId="0" borderId="14" xfId="0" applyFont="1" applyBorder="1"/>
    <xf numFmtId="9" fontId="50" fillId="0" borderId="15" xfId="0" applyNumberFormat="1" applyFont="1" applyBorder="1"/>
    <xf numFmtId="0" fontId="50" fillId="0" borderId="15" xfId="0" applyFont="1" applyBorder="1"/>
    <xf numFmtId="0" fontId="50" fillId="0" borderId="16" xfId="0" applyFont="1" applyBorder="1"/>
    <xf numFmtId="0" fontId="50" fillId="0" borderId="17" xfId="0" applyFont="1" applyBorder="1"/>
    <xf numFmtId="0" fontId="50" fillId="0" borderId="21" xfId="0" applyFont="1" applyBorder="1"/>
    <xf numFmtId="0" fontId="52" fillId="5" borderId="13" xfId="0" applyFont="1" applyFill="1" applyBorder="1"/>
    <xf numFmtId="0" fontId="50" fillId="5" borderId="18" xfId="0" applyFont="1" applyFill="1" applyBorder="1"/>
    <xf numFmtId="0" fontId="50" fillId="5" borderId="13" xfId="0" applyFont="1" applyFill="1" applyBorder="1"/>
    <xf numFmtId="0" fontId="50" fillId="5" borderId="14" xfId="0" applyFont="1" applyFill="1" applyBorder="1"/>
    <xf numFmtId="9" fontId="50" fillId="5" borderId="15" xfId="0" applyNumberFormat="1" applyFont="1" applyFill="1" applyBorder="1"/>
    <xf numFmtId="0" fontId="50" fillId="5" borderId="15" xfId="0" applyFont="1" applyFill="1" applyBorder="1"/>
    <xf numFmtId="0" fontId="50" fillId="5" borderId="16" xfId="0" applyFont="1" applyFill="1" applyBorder="1"/>
    <xf numFmtId="9" fontId="52" fillId="5" borderId="13" xfId="0" applyNumberFormat="1" applyFont="1" applyFill="1" applyBorder="1"/>
    <xf numFmtId="9" fontId="50" fillId="5" borderId="18" xfId="0" applyNumberFormat="1" applyFont="1" applyFill="1" applyBorder="1"/>
    <xf numFmtId="0" fontId="50" fillId="5" borderId="17" xfId="0" applyFont="1" applyFill="1" applyBorder="1"/>
    <xf numFmtId="0" fontId="50" fillId="5" borderId="19" xfId="0" applyFont="1" applyFill="1" applyBorder="1"/>
    <xf numFmtId="0" fontId="50" fillId="5" borderId="21" xfId="0" applyFont="1" applyFill="1" applyBorder="1"/>
    <xf numFmtId="0" fontId="0" fillId="0" borderId="0" xfId="0" applyAlignment="1">
      <alignment vertical="center"/>
    </xf>
    <xf numFmtId="10" fontId="50" fillId="0" borderId="0" xfId="0" applyNumberFormat="1" applyFont="1"/>
    <xf numFmtId="166" fontId="50" fillId="6" borderId="57" xfId="0" applyNumberFormat="1" applyFont="1" applyFill="1" applyBorder="1" applyAlignment="1">
      <alignment horizontal="center"/>
    </xf>
    <xf numFmtId="165" fontId="50" fillId="6" borderId="57" xfId="1" applyNumberFormat="1" applyFont="1" applyFill="1" applyBorder="1" applyAlignment="1">
      <alignment horizontal="center"/>
    </xf>
    <xf numFmtId="9" fontId="8" fillId="0" borderId="34" xfId="2" applyFont="1" applyFill="1" applyBorder="1" applyAlignment="1">
      <alignment horizontal="right" vertical="center" wrapText="1"/>
    </xf>
    <xf numFmtId="9" fontId="8" fillId="0" borderId="24" xfId="2" applyFont="1" applyFill="1" applyBorder="1" applyAlignment="1">
      <alignment vertical="center" wrapText="1"/>
    </xf>
    <xf numFmtId="165" fontId="8" fillId="0" borderId="25" xfId="1" applyNumberFormat="1" applyFont="1" applyFill="1" applyBorder="1" applyAlignment="1">
      <alignment horizontal="left" vertical="center" wrapText="1"/>
    </xf>
    <xf numFmtId="165" fontId="8" fillId="0" borderId="39" xfId="1" applyNumberFormat="1" applyFont="1" applyFill="1" applyBorder="1" applyAlignment="1">
      <alignment horizontal="left" vertical="center" wrapText="1"/>
    </xf>
    <xf numFmtId="165" fontId="8" fillId="0" borderId="34" xfId="1" applyNumberFormat="1" applyFont="1" applyFill="1" applyBorder="1" applyAlignment="1">
      <alignment horizontal="right" vertical="center" wrapText="1"/>
    </xf>
    <xf numFmtId="165" fontId="8" fillId="0" borderId="25" xfId="1" applyNumberFormat="1" applyFont="1" applyFill="1" applyBorder="1" applyAlignment="1">
      <alignment horizontal="right" vertical="center" wrapText="1"/>
    </xf>
    <xf numFmtId="43" fontId="8" fillId="0" borderId="46" xfId="1" applyFont="1" applyFill="1" applyBorder="1" applyAlignment="1">
      <alignment horizontal="left" vertical="center" wrapText="1"/>
    </xf>
    <xf numFmtId="165" fontId="8" fillId="0" borderId="20" xfId="1" applyNumberFormat="1" applyFont="1" applyFill="1" applyBorder="1" applyAlignment="1">
      <alignment horizontal="left" vertical="center" wrapText="1"/>
    </xf>
    <xf numFmtId="174" fontId="8" fillId="7" borderId="25" xfId="1" applyNumberFormat="1" applyFont="1" applyFill="1" applyBorder="1" applyAlignment="1">
      <alignment horizontal="left" vertical="center" wrapText="1"/>
    </xf>
    <xf numFmtId="170" fontId="8" fillId="7" borderId="25" xfId="0" applyNumberFormat="1" applyFont="1" applyFill="1" applyBorder="1" applyAlignment="1">
      <alignment horizontal="left" vertical="center" wrapText="1"/>
    </xf>
    <xf numFmtId="174" fontId="8" fillId="7" borderId="46" xfId="1" applyNumberFormat="1" applyFont="1" applyFill="1" applyBorder="1" applyAlignment="1">
      <alignment horizontal="left" vertical="center" wrapText="1"/>
    </xf>
    <xf numFmtId="165" fontId="8" fillId="7" borderId="25" xfId="1" applyNumberFormat="1" applyFont="1" applyFill="1" applyBorder="1" applyAlignment="1">
      <alignment horizontal="left" vertical="center" wrapText="1"/>
    </xf>
    <xf numFmtId="165" fontId="8" fillId="7" borderId="46" xfId="1" applyNumberFormat="1" applyFont="1" applyFill="1" applyBorder="1" applyAlignment="1">
      <alignment horizontal="left" vertical="center" wrapText="1"/>
    </xf>
    <xf numFmtId="165" fontId="8" fillId="7" borderId="34" xfId="1" applyNumberFormat="1" applyFont="1" applyFill="1" applyBorder="1" applyAlignment="1">
      <alignment horizontal="right" vertical="center" wrapText="1"/>
    </xf>
    <xf numFmtId="165" fontId="8" fillId="7" borderId="25" xfId="1" applyNumberFormat="1" applyFont="1" applyFill="1" applyBorder="1" applyAlignment="1">
      <alignment horizontal="right" vertical="center" wrapText="1"/>
    </xf>
    <xf numFmtId="165" fontId="50" fillId="6" borderId="58" xfId="1" applyNumberFormat="1" applyFont="1" applyFill="1" applyBorder="1" applyAlignment="1">
      <alignment horizontal="center"/>
    </xf>
    <xf numFmtId="165" fontId="50" fillId="6" borderId="59" xfId="1" applyNumberFormat="1" applyFont="1" applyFill="1" applyBorder="1" applyAlignment="1">
      <alignment horizontal="center"/>
    </xf>
    <xf numFmtId="166" fontId="50" fillId="6" borderId="59" xfId="2" applyNumberFormat="1" applyFont="1" applyFill="1" applyBorder="1" applyAlignment="1">
      <alignment horizontal="right"/>
    </xf>
    <xf numFmtId="10" fontId="49" fillId="0" borderId="0" xfId="2" applyNumberFormat="1" applyFont="1" applyFill="1" applyBorder="1" applyAlignment="1">
      <alignment vertical="center" wrapText="1"/>
    </xf>
    <xf numFmtId="0" fontId="50" fillId="0" borderId="6" xfId="0" applyFont="1" applyBorder="1"/>
    <xf numFmtId="10" fontId="49" fillId="0" borderId="6" xfId="2" applyNumberFormat="1" applyFont="1" applyFill="1" applyBorder="1" applyAlignment="1">
      <alignment vertical="center" wrapText="1"/>
    </xf>
    <xf numFmtId="10" fontId="50" fillId="6" borderId="57" xfId="2" applyNumberFormat="1" applyFont="1" applyFill="1" applyBorder="1" applyAlignment="1">
      <alignment horizontal="right"/>
    </xf>
    <xf numFmtId="9" fontId="50" fillId="6" borderId="57" xfId="2" applyFont="1" applyFill="1" applyBorder="1" applyAlignment="1">
      <alignment horizontal="right"/>
    </xf>
    <xf numFmtId="175" fontId="50" fillId="6" borderId="57" xfId="1" applyNumberFormat="1" applyFont="1" applyFill="1" applyBorder="1" applyAlignment="1">
      <alignment horizontal="right"/>
    </xf>
    <xf numFmtId="165" fontId="50" fillId="6" borderId="61" xfId="1" applyNumberFormat="1" applyFont="1" applyFill="1" applyBorder="1" applyAlignment="1">
      <alignment horizontal="center"/>
    </xf>
    <xf numFmtId="9" fontId="50" fillId="6" borderId="60" xfId="2" applyFont="1" applyFill="1" applyBorder="1" applyAlignment="1">
      <alignment horizontal="right"/>
    </xf>
    <xf numFmtId="9" fontId="50" fillId="6" borderId="62" xfId="2" applyFont="1" applyFill="1" applyBorder="1" applyAlignment="1">
      <alignment horizontal="right"/>
    </xf>
    <xf numFmtId="165" fontId="8" fillId="5" borderId="24" xfId="0" applyNumberFormat="1" applyFont="1" applyFill="1" applyBorder="1" applyAlignment="1">
      <alignment vertical="center" wrapText="1"/>
    </xf>
    <xf numFmtId="165" fontId="8" fillId="0" borderId="24" xfId="0" applyNumberFormat="1" applyFont="1" applyBorder="1" applyAlignment="1">
      <alignment vertical="center" wrapText="1"/>
    </xf>
    <xf numFmtId="9" fontId="50" fillId="6" borderId="59" xfId="2" applyFont="1" applyFill="1" applyBorder="1" applyAlignment="1">
      <alignment horizontal="right"/>
    </xf>
    <xf numFmtId="165" fontId="50" fillId="6" borderId="0" xfId="1" applyNumberFormat="1" applyFont="1" applyFill="1" applyBorder="1" applyAlignment="1">
      <alignment horizontal="center"/>
    </xf>
    <xf numFmtId="165" fontId="50" fillId="6" borderId="58" xfId="1" applyNumberFormat="1" applyFont="1" applyFill="1" applyBorder="1" applyAlignment="1">
      <alignment horizontal="right"/>
    </xf>
    <xf numFmtId="165" fontId="50" fillId="6" borderId="59" xfId="1" applyNumberFormat="1" applyFont="1" applyFill="1" applyBorder="1" applyAlignment="1">
      <alignment horizontal="right"/>
    </xf>
    <xf numFmtId="0" fontId="8" fillId="0" borderId="0" xfId="1" applyNumberFormat="1" applyFont="1" applyFill="1" applyBorder="1" applyAlignment="1">
      <alignment horizontal="left" vertical="center"/>
    </xf>
    <xf numFmtId="0" fontId="11" fillId="2" borderId="24" xfId="0" applyFont="1" applyFill="1" applyBorder="1" applyAlignment="1">
      <alignment horizontal="left" vertical="center" wrapText="1"/>
    </xf>
    <xf numFmtId="0" fontId="11" fillId="2" borderId="24" xfId="0" applyFont="1" applyFill="1" applyBorder="1" applyAlignment="1">
      <alignment horizontal="right" vertical="center" wrapText="1"/>
    </xf>
    <xf numFmtId="174" fontId="50" fillId="0" borderId="0" xfId="1" applyNumberFormat="1" applyFont="1"/>
    <xf numFmtId="170" fontId="8" fillId="5" borderId="0" xfId="0" applyNumberFormat="1" applyFont="1" applyFill="1" applyAlignment="1">
      <alignment horizontal="left" vertical="center" wrapText="1"/>
    </xf>
    <xf numFmtId="39" fontId="8" fillId="5" borderId="0" xfId="1" applyNumberFormat="1" applyFont="1" applyFill="1" applyBorder="1" applyAlignment="1">
      <alignment vertical="center" wrapText="1"/>
    </xf>
    <xf numFmtId="165" fontId="8" fillId="0" borderId="46" xfId="1" applyNumberFormat="1" applyFont="1" applyFill="1" applyBorder="1" applyAlignment="1">
      <alignment horizontal="left" vertical="center" wrapText="1"/>
    </xf>
    <xf numFmtId="166" fontId="50" fillId="6" borderId="64" xfId="2" applyNumberFormat="1" applyFont="1" applyFill="1" applyBorder="1" applyAlignment="1">
      <alignment horizontal="right"/>
    </xf>
    <xf numFmtId="166" fontId="50" fillId="6" borderId="60" xfId="2" applyNumberFormat="1" applyFont="1" applyFill="1" applyBorder="1" applyAlignment="1">
      <alignment horizontal="right"/>
    </xf>
    <xf numFmtId="166" fontId="50" fillId="6" borderId="65" xfId="2" applyNumberFormat="1" applyFont="1" applyFill="1" applyBorder="1" applyAlignment="1">
      <alignment horizontal="right"/>
    </xf>
    <xf numFmtId="0" fontId="11" fillId="2" borderId="66" xfId="0" applyFont="1" applyFill="1" applyBorder="1" applyAlignment="1">
      <alignment horizontal="left" vertical="center" wrapText="1"/>
    </xf>
    <xf numFmtId="10" fontId="8" fillId="0" borderId="0" xfId="2" applyNumberFormat="1" applyFont="1" applyBorder="1" applyAlignment="1">
      <alignment vertical="center" wrapText="1"/>
    </xf>
    <xf numFmtId="176" fontId="8" fillId="0" borderId="0" xfId="0" applyNumberFormat="1" applyFont="1" applyAlignment="1">
      <alignment vertical="center" wrapText="1"/>
    </xf>
    <xf numFmtId="0" fontId="26" fillId="0" borderId="0" xfId="0" applyFont="1" applyAlignment="1">
      <alignment horizontal="left" vertical="center" wrapText="1"/>
    </xf>
    <xf numFmtId="0" fontId="0" fillId="0" borderId="0" xfId="0" applyAlignment="1">
      <alignment horizontal="left" wrapText="1"/>
    </xf>
    <xf numFmtId="0" fontId="11" fillId="2" borderId="66" xfId="0" applyFont="1" applyFill="1" applyBorder="1" applyAlignment="1">
      <alignment horizontal="center" vertical="center" wrapText="1"/>
    </xf>
    <xf numFmtId="0" fontId="11" fillId="2" borderId="67" xfId="0" applyFont="1" applyFill="1" applyBorder="1" applyAlignment="1">
      <alignment horizontal="center" vertical="center" wrapText="1"/>
    </xf>
    <xf numFmtId="0" fontId="11" fillId="2" borderId="68" xfId="0" applyFont="1" applyFill="1" applyBorder="1" applyAlignment="1">
      <alignment horizontal="center" vertical="center" wrapText="1"/>
    </xf>
    <xf numFmtId="0" fontId="11" fillId="2" borderId="69" xfId="0" applyFont="1" applyFill="1" applyBorder="1" applyAlignment="1">
      <alignment horizontal="center" vertical="center" wrapText="1"/>
    </xf>
    <xf numFmtId="0" fontId="2" fillId="0" borderId="0" xfId="0" applyFont="1" applyAlignment="1">
      <alignment horizontal="left" wrapText="1"/>
    </xf>
    <xf numFmtId="0" fontId="11" fillId="2" borderId="63" xfId="0" applyFont="1" applyFill="1" applyBorder="1" applyAlignment="1">
      <alignment horizontal="center" vertical="center" wrapText="1"/>
    </xf>
    <xf numFmtId="0" fontId="11" fillId="2" borderId="6" xfId="0" applyFont="1" applyFill="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11" fillId="2" borderId="43" xfId="0" applyFont="1" applyFill="1" applyBorder="1" applyAlignment="1">
      <alignment horizontal="center" vertical="center" wrapText="1"/>
    </xf>
    <xf numFmtId="0" fontId="11" fillId="2" borderId="44" xfId="0" applyFont="1" applyFill="1" applyBorder="1" applyAlignment="1">
      <alignment horizontal="center" vertical="center" wrapText="1"/>
    </xf>
    <xf numFmtId="0" fontId="11" fillId="2" borderId="45" xfId="0" applyFont="1" applyFill="1" applyBorder="1" applyAlignment="1">
      <alignment horizontal="center" vertical="center" wrapText="1"/>
    </xf>
    <xf numFmtId="0" fontId="11" fillId="2" borderId="28" xfId="0" applyFont="1" applyFill="1" applyBorder="1" applyAlignment="1">
      <alignment horizontal="center" vertical="center" wrapText="1"/>
    </xf>
    <xf numFmtId="0" fontId="11" fillId="2" borderId="29" xfId="0" applyFont="1" applyFill="1" applyBorder="1" applyAlignment="1">
      <alignment horizontal="center" vertical="center" wrapText="1"/>
    </xf>
    <xf numFmtId="0" fontId="11" fillId="2" borderId="30" xfId="0" applyFont="1" applyFill="1" applyBorder="1" applyAlignment="1">
      <alignment horizontal="center" vertical="center" wrapText="1"/>
    </xf>
    <xf numFmtId="0" fontId="50" fillId="0" borderId="0" xfId="0" applyFont="1" applyAlignment="1">
      <alignment horizontal="left" wrapText="1"/>
    </xf>
    <xf numFmtId="0" fontId="0" fillId="0" borderId="0" xfId="0" applyAlignment="1">
      <alignment horizontal="left"/>
    </xf>
    <xf numFmtId="0" fontId="2" fillId="0" borderId="0" xfId="0" applyFont="1" applyAlignment="1">
      <alignment horizontal="left"/>
    </xf>
    <xf numFmtId="0" fontId="0" fillId="0" borderId="0" xfId="0" applyAlignment="1">
      <alignment horizontal="center"/>
    </xf>
    <xf numFmtId="0" fontId="0" fillId="0" borderId="2" xfId="0" applyBorder="1" applyAlignment="1">
      <alignment horizontal="center"/>
    </xf>
    <xf numFmtId="0" fontId="59" fillId="2" borderId="56" xfId="0" applyFont="1" applyFill="1" applyBorder="1" applyAlignment="1">
      <alignment horizontal="left"/>
    </xf>
    <xf numFmtId="0" fontId="59" fillId="2" borderId="54" xfId="0" applyFont="1" applyFill="1" applyBorder="1" applyAlignment="1">
      <alignment horizontal="left"/>
    </xf>
    <xf numFmtId="0" fontId="59" fillId="2" borderId="55" xfId="0" applyFont="1" applyFill="1" applyBorder="1" applyAlignment="1">
      <alignment horizontal="left"/>
    </xf>
    <xf numFmtId="0" fontId="59" fillId="2" borderId="53" xfId="0" applyFont="1" applyFill="1" applyBorder="1" applyAlignment="1">
      <alignment horizontal="left"/>
    </xf>
    <xf numFmtId="0" fontId="59" fillId="2" borderId="47" xfId="0" applyFont="1" applyFill="1" applyBorder="1" applyAlignment="1">
      <alignment horizontal="center"/>
    </xf>
  </cellXfs>
  <cellStyles count="5">
    <cellStyle name="Comma" xfId="1" builtinId="3"/>
    <cellStyle name="Currency" xfId="3" builtinId="4"/>
    <cellStyle name="Normal" xfId="0" builtinId="0"/>
    <cellStyle name="Normal 60" xfId="4" xr:uid="{FFD6592A-B574-4E9B-A63A-865973C7B376}"/>
    <cellStyle name="Percent" xfId="2" builtinId="5"/>
  </cellStyles>
  <dxfs count="0"/>
  <tableStyles count="0" defaultTableStyle="TableStyleMedium2" defaultPivotStyle="PivotStyleLight16"/>
  <colors>
    <mruColors>
      <color rgb="FF002060"/>
      <color rgb="FF024D7C"/>
      <color rgb="FF0070C0"/>
      <color rgb="FFE7E7E7"/>
      <color rgb="FFFFCA69"/>
      <color rgb="FF818181"/>
      <color rgb="FFBA6124"/>
      <color rgb="FF335899"/>
      <color rgb="FFFFDDAD"/>
      <color rgb="FFF5C3B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sz="1000" b="1" i="0" u="none" strike="noStrike" baseline="0">
                <a:solidFill>
                  <a:srgbClr val="000000"/>
                </a:solidFill>
                <a:latin typeface="Arial"/>
                <a:ea typeface="Arial"/>
                <a:cs typeface="Arial"/>
              </a:defRPr>
            </a:pPr>
            <a:r>
              <a:rPr lang="en-GB"/>
              <a:t>Solvency Capital Distribution - Base Scenario</a:t>
            </a:r>
          </a:p>
        </c:rich>
      </c:tx>
      <c:layout>
        <c:manualLayout>
          <c:xMode val="edge"/>
          <c:yMode val="edge"/>
          <c:x val="2.5308181506551439E-2"/>
          <c:y val="2.0689676636270284E-2"/>
        </c:manualLayout>
      </c:layout>
      <c:overlay val="0"/>
      <c:spPr>
        <a:noFill/>
        <a:ln w="25400">
          <a:noFill/>
        </a:ln>
      </c:spPr>
    </c:title>
    <c:autoTitleDeleted val="0"/>
    <c:plotArea>
      <c:layout>
        <c:manualLayout>
          <c:layoutTarget val="inner"/>
          <c:xMode val="edge"/>
          <c:yMode val="edge"/>
          <c:x val="3.1616596002422795E-2"/>
          <c:y val="0.28631978145588949"/>
          <c:w val="0.96838340399757727"/>
          <c:h val="0.52102940703840595"/>
        </c:manualLayout>
      </c:layout>
      <c:pieChart>
        <c:varyColors val="1"/>
        <c:ser>
          <c:idx val="1"/>
          <c:order val="0"/>
          <c:dPt>
            <c:idx val="0"/>
            <c:bubble3D val="0"/>
            <c:spPr>
              <a:solidFill>
                <a:srgbClr val="335899"/>
              </a:solidFill>
            </c:spPr>
            <c:extLst>
              <c:ext xmlns:c16="http://schemas.microsoft.com/office/drawing/2014/chart" uri="{C3380CC4-5D6E-409C-BE32-E72D297353CC}">
                <c16:uniqueId val="{00000000-CCD4-4E53-9612-B9194BD7234C}"/>
              </c:ext>
            </c:extLst>
          </c:dPt>
          <c:dPt>
            <c:idx val="1"/>
            <c:bubble3D val="0"/>
            <c:spPr>
              <a:solidFill>
                <a:srgbClr val="BA6124"/>
              </a:solidFill>
            </c:spPr>
            <c:extLst>
              <c:ext xmlns:c16="http://schemas.microsoft.com/office/drawing/2014/chart" uri="{C3380CC4-5D6E-409C-BE32-E72D297353CC}">
                <c16:uniqueId val="{00000001-CCD4-4E53-9612-B9194BD7234C}"/>
              </c:ext>
            </c:extLst>
          </c:dPt>
          <c:dPt>
            <c:idx val="2"/>
            <c:bubble3D val="0"/>
            <c:spPr>
              <a:solidFill>
                <a:srgbClr val="818181"/>
              </a:solidFill>
            </c:spPr>
            <c:extLst>
              <c:ext xmlns:c16="http://schemas.microsoft.com/office/drawing/2014/chart" uri="{C3380CC4-5D6E-409C-BE32-E72D297353CC}">
                <c16:uniqueId val="{00000002-CCD4-4E53-9612-B9194BD7234C}"/>
              </c:ext>
            </c:extLst>
          </c:dPt>
          <c:dPt>
            <c:idx val="9"/>
            <c:bubble3D val="0"/>
            <c:spPr>
              <a:solidFill>
                <a:srgbClr val="FFCA69"/>
              </a:solidFill>
            </c:spPr>
            <c:extLst>
              <c:ext xmlns:c16="http://schemas.microsoft.com/office/drawing/2014/chart" uri="{C3380CC4-5D6E-409C-BE32-E72D297353CC}">
                <c16:uniqueId val="{0000000D-CCD4-4E53-9612-B9194BD7234C}"/>
              </c:ext>
            </c:extLst>
          </c:dPt>
          <c:dPt>
            <c:idx val="13"/>
            <c:bubble3D val="0"/>
            <c:spPr>
              <a:solidFill>
                <a:srgbClr val="F5C3B1"/>
              </a:solidFill>
            </c:spPr>
            <c:extLst>
              <c:ext xmlns:c16="http://schemas.microsoft.com/office/drawing/2014/chart" uri="{C3380CC4-5D6E-409C-BE32-E72D297353CC}">
                <c16:uniqueId val="{0000000A-CCD4-4E53-9612-B9194BD7234C}"/>
              </c:ext>
            </c:extLst>
          </c:dPt>
          <c:dPt>
            <c:idx val="15"/>
            <c:bubble3D val="0"/>
            <c:spPr>
              <a:solidFill>
                <a:srgbClr val="FFDDAD"/>
              </a:solidFill>
            </c:spPr>
            <c:extLst>
              <c:ext xmlns:c16="http://schemas.microsoft.com/office/drawing/2014/chart" uri="{C3380CC4-5D6E-409C-BE32-E72D297353CC}">
                <c16:uniqueId val="{00000011-CCD4-4E53-9612-B9194BD7234C}"/>
              </c:ext>
            </c:extLst>
          </c:dPt>
          <c:dLbls>
            <c:dLbl>
              <c:idx val="0"/>
              <c:layout>
                <c:manualLayout>
                  <c:x val="-7.120072607746461E-2"/>
                  <c:y val="5.400140556200967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CCD4-4E53-9612-B9194BD7234C}"/>
                </c:ext>
              </c:extLst>
            </c:dLbl>
            <c:dLbl>
              <c:idx val="1"/>
              <c:layout>
                <c:manualLayout>
                  <c:x val="-3.5602914121716095E-2"/>
                  <c:y val="3.0513699448771001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CD4-4E53-9612-B9194BD7234C}"/>
                </c:ext>
              </c:extLst>
            </c:dLbl>
            <c:dLbl>
              <c:idx val="3"/>
              <c:delete val="1"/>
              <c:extLst>
                <c:ext xmlns:c15="http://schemas.microsoft.com/office/drawing/2012/chart" uri="{CE6537A1-D6FC-4f65-9D91-7224C49458BB}"/>
                <c:ext xmlns:c16="http://schemas.microsoft.com/office/drawing/2014/chart" uri="{C3380CC4-5D6E-409C-BE32-E72D297353CC}">
                  <c16:uniqueId val="{00000003-CCD4-4E53-9612-B9194BD7234C}"/>
                </c:ext>
              </c:extLst>
            </c:dLbl>
            <c:dLbl>
              <c:idx val="4"/>
              <c:delete val="1"/>
              <c:extLst>
                <c:ext xmlns:c15="http://schemas.microsoft.com/office/drawing/2012/chart" uri="{CE6537A1-D6FC-4f65-9D91-7224C49458BB}"/>
                <c:ext xmlns:c16="http://schemas.microsoft.com/office/drawing/2014/chart" uri="{C3380CC4-5D6E-409C-BE32-E72D297353CC}">
                  <c16:uniqueId val="{00000004-CCD4-4E53-9612-B9194BD7234C}"/>
                </c:ext>
              </c:extLst>
            </c:dLbl>
            <c:dLbl>
              <c:idx val="5"/>
              <c:delete val="1"/>
              <c:extLst>
                <c:ext xmlns:c15="http://schemas.microsoft.com/office/drawing/2012/chart" uri="{CE6537A1-D6FC-4f65-9D91-7224C49458BB}"/>
                <c:ext xmlns:c16="http://schemas.microsoft.com/office/drawing/2014/chart" uri="{C3380CC4-5D6E-409C-BE32-E72D297353CC}">
                  <c16:uniqueId val="{00000005-CCD4-4E53-9612-B9194BD7234C}"/>
                </c:ext>
              </c:extLst>
            </c:dLbl>
            <c:dLbl>
              <c:idx val="6"/>
              <c:delete val="1"/>
              <c:extLst>
                <c:ext xmlns:c15="http://schemas.microsoft.com/office/drawing/2012/chart" uri="{CE6537A1-D6FC-4f65-9D91-7224C49458BB}"/>
                <c:ext xmlns:c16="http://schemas.microsoft.com/office/drawing/2014/chart" uri="{C3380CC4-5D6E-409C-BE32-E72D297353CC}">
                  <c16:uniqueId val="{00000006-CCD4-4E53-9612-B9194BD7234C}"/>
                </c:ext>
              </c:extLst>
            </c:dLbl>
            <c:dLbl>
              <c:idx val="7"/>
              <c:delete val="1"/>
              <c:extLst>
                <c:ext xmlns:c15="http://schemas.microsoft.com/office/drawing/2012/chart" uri="{CE6537A1-D6FC-4f65-9D91-7224C49458BB}"/>
                <c:ext xmlns:c16="http://schemas.microsoft.com/office/drawing/2014/chart" uri="{C3380CC4-5D6E-409C-BE32-E72D297353CC}">
                  <c16:uniqueId val="{0000000F-CCD4-4E53-9612-B9194BD7234C}"/>
                </c:ext>
              </c:extLst>
            </c:dLbl>
            <c:dLbl>
              <c:idx val="8"/>
              <c:delete val="1"/>
              <c:extLst>
                <c:ext xmlns:c15="http://schemas.microsoft.com/office/drawing/2012/chart" uri="{CE6537A1-D6FC-4f65-9D91-7224C49458BB}"/>
                <c:ext xmlns:c16="http://schemas.microsoft.com/office/drawing/2014/chart" uri="{C3380CC4-5D6E-409C-BE32-E72D297353CC}">
                  <c16:uniqueId val="{0000000E-CCD4-4E53-9612-B9194BD7234C}"/>
                </c:ext>
              </c:extLst>
            </c:dLbl>
            <c:dLbl>
              <c:idx val="9"/>
              <c:layout>
                <c:manualLayout>
                  <c:x val="0.10274800696641892"/>
                  <c:y val="3.8267429686043346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D-CCD4-4E53-9612-B9194BD7234C}"/>
                </c:ext>
              </c:extLst>
            </c:dLbl>
            <c:dLbl>
              <c:idx val="10"/>
              <c:delete val="1"/>
              <c:extLst>
                <c:ext xmlns:c15="http://schemas.microsoft.com/office/drawing/2012/chart" uri="{CE6537A1-D6FC-4f65-9D91-7224C49458BB}"/>
                <c:ext xmlns:c16="http://schemas.microsoft.com/office/drawing/2014/chart" uri="{C3380CC4-5D6E-409C-BE32-E72D297353CC}">
                  <c16:uniqueId val="{00000012-CCD4-4E53-9612-B9194BD7234C}"/>
                </c:ext>
              </c:extLst>
            </c:dLbl>
            <c:dLbl>
              <c:idx val="11"/>
              <c:delete val="1"/>
              <c:extLst>
                <c:ext xmlns:c15="http://schemas.microsoft.com/office/drawing/2012/chart" uri="{CE6537A1-D6FC-4f65-9D91-7224C49458BB}"/>
                <c:ext xmlns:c16="http://schemas.microsoft.com/office/drawing/2014/chart" uri="{C3380CC4-5D6E-409C-BE32-E72D297353CC}">
                  <c16:uniqueId val="{0000000B-CCD4-4E53-9612-B9194BD7234C}"/>
                </c:ext>
              </c:extLst>
            </c:dLbl>
            <c:dLbl>
              <c:idx val="12"/>
              <c:delete val="1"/>
              <c:extLst>
                <c:ext xmlns:c15="http://schemas.microsoft.com/office/drawing/2012/chart" uri="{CE6537A1-D6FC-4f65-9D91-7224C49458BB}"/>
                <c:ext xmlns:c16="http://schemas.microsoft.com/office/drawing/2014/chart" uri="{C3380CC4-5D6E-409C-BE32-E72D297353CC}">
                  <c16:uniqueId val="{0000000C-CCD4-4E53-9612-B9194BD7234C}"/>
                </c:ext>
              </c:extLst>
            </c:dLbl>
            <c:dLbl>
              <c:idx val="13"/>
              <c:layout>
                <c:manualLayout>
                  <c:x val="-4.7628130595825054E-2"/>
                  <c:y val="7.510883543928594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A-CCD4-4E53-9612-B9194BD7234C}"/>
                </c:ext>
              </c:extLst>
            </c:dLbl>
            <c:dLbl>
              <c:idx val="14"/>
              <c:delete val="1"/>
              <c:extLst>
                <c:ext xmlns:c15="http://schemas.microsoft.com/office/drawing/2012/chart" uri="{CE6537A1-D6FC-4f65-9D91-7224C49458BB}"/>
                <c:ext xmlns:c16="http://schemas.microsoft.com/office/drawing/2014/chart" uri="{C3380CC4-5D6E-409C-BE32-E72D297353CC}">
                  <c16:uniqueId val="{00000009-CCD4-4E53-9612-B9194BD7234C}"/>
                </c:ext>
              </c:extLst>
            </c:dLbl>
            <c:dLbl>
              <c:idx val="15"/>
              <c:layout>
                <c:manualLayout>
                  <c:x val="-0.16267559545710999"/>
                  <c:y val="6.7956723988736381E-2"/>
                </c:manualLayout>
              </c:layout>
              <c:spPr>
                <a:noFill/>
                <a:ln>
                  <a:noFill/>
                </a:ln>
                <a:effectLst/>
              </c:spPr>
              <c:txPr>
                <a:bodyPr wrap="square" lIns="38100" tIns="19050" rIns="38100" bIns="19050" anchor="ctr">
                  <a:no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15:layout>
                    <c:manualLayout>
                      <c:w val="0.16307778350136137"/>
                      <c:h val="6.1833636915604132E-2"/>
                    </c:manualLayout>
                  </c15:layout>
                </c:ext>
                <c:ext xmlns:c16="http://schemas.microsoft.com/office/drawing/2014/chart" uri="{C3380CC4-5D6E-409C-BE32-E72D297353CC}">
                  <c16:uniqueId val="{00000011-CCD4-4E53-9612-B9194BD7234C}"/>
                </c:ext>
              </c:extLst>
            </c:dLbl>
            <c:spPr>
              <a:noFill/>
              <a:ln>
                <a:noFill/>
              </a:ln>
              <a:effectLst/>
            </c:spPr>
            <c:dLblPos val="ctr"/>
            <c:showLegendKey val="0"/>
            <c:showVal val="1"/>
            <c:showCatName val="1"/>
            <c:showSerName val="0"/>
            <c:showPercent val="0"/>
            <c:showBubbleSize val="0"/>
            <c:showLeaderLines val="1"/>
            <c:extLst>
              <c:ext xmlns:c15="http://schemas.microsoft.com/office/drawing/2012/chart" uri="{CE6537A1-D6FC-4f65-9D91-7224C49458BB}"/>
            </c:extLst>
          </c:dLbls>
          <c:cat>
            <c:strRef>
              <c:f>'3d. Bermuda'!$H$22:$H$37</c:f>
              <c:strCache>
                <c:ptCount val="16"/>
                <c:pt idx="0">
                  <c:v>Fixed Income Investment Risk</c:v>
                </c:pt>
                <c:pt idx="1">
                  <c:v>Equity Investment Risk</c:v>
                </c:pt>
                <c:pt idx="2">
                  <c:v>Interest Rate and Liquidity Risk</c:v>
                </c:pt>
                <c:pt idx="3">
                  <c:v>Currency Risk</c:v>
                </c:pt>
                <c:pt idx="4">
                  <c:v>Concentration Risk</c:v>
                </c:pt>
                <c:pt idx="6">
                  <c:v>P&amp;C Risk</c:v>
                </c:pt>
                <c:pt idx="9">
                  <c:v>Mortality Risk</c:v>
                </c:pt>
                <c:pt idx="10">
                  <c:v>Stop Loss Risk</c:v>
                </c:pt>
                <c:pt idx="11">
                  <c:v>Rider Risk</c:v>
                </c:pt>
                <c:pt idx="12">
                  <c:v>Morbidity Risk</c:v>
                </c:pt>
                <c:pt idx="13">
                  <c:v>Longevity Risk</c:v>
                </c:pt>
                <c:pt idx="14">
                  <c:v>Variable Annuity Risk</c:v>
                </c:pt>
                <c:pt idx="15">
                  <c:v>Long Term Other Insurance Risk</c:v>
                </c:pt>
              </c:strCache>
            </c:strRef>
          </c:cat>
          <c:val>
            <c:numRef>
              <c:f>'3d. Bermuda'!$I$22:$I$37</c:f>
              <c:numCache>
                <c:formatCode>0.0%</c:formatCode>
                <c:ptCount val="16"/>
                <c:pt idx="0">
                  <c:v>4.4258728009437136E-2</c:v>
                </c:pt>
                <c:pt idx="1">
                  <c:v>0.2251191949948099</c:v>
                </c:pt>
                <c:pt idx="2">
                  <c:v>0.41503163495588807</c:v>
                </c:pt>
                <c:pt idx="3">
                  <c:v>0</c:v>
                </c:pt>
                <c:pt idx="4">
                  <c:v>0</c:v>
                </c:pt>
                <c:pt idx="6">
                  <c:v>0</c:v>
                </c:pt>
                <c:pt idx="9">
                  <c:v>0.19613075083606163</c:v>
                </c:pt>
                <c:pt idx="10">
                  <c:v>0</c:v>
                </c:pt>
                <c:pt idx="11">
                  <c:v>0</c:v>
                </c:pt>
                <c:pt idx="12">
                  <c:v>0</c:v>
                </c:pt>
                <c:pt idx="13">
                  <c:v>0.11035254656608327</c:v>
                </c:pt>
                <c:pt idx="14">
                  <c:v>0</c:v>
                </c:pt>
                <c:pt idx="15">
                  <c:v>9.1071446377198745E-3</c:v>
                </c:pt>
              </c:numCache>
            </c:numRef>
          </c:val>
          <c:extLst>
            <c:ext xmlns:c16="http://schemas.microsoft.com/office/drawing/2014/chart" uri="{C3380CC4-5D6E-409C-BE32-E72D297353CC}">
              <c16:uniqueId val="{00000007-CCD4-4E53-9612-B9194BD7234C}"/>
            </c:ext>
          </c:extLst>
        </c:ser>
        <c:dLbls>
          <c:showLegendKey val="0"/>
          <c:showVal val="0"/>
          <c:showCatName val="0"/>
          <c:showSerName val="0"/>
          <c:showPercent val="0"/>
          <c:showBubbleSize val="0"/>
          <c:showLeaderLines val="1"/>
        </c:dLbls>
        <c:firstSliceAng val="45"/>
      </c:pieChart>
      <c:spPr>
        <a:noFill/>
        <a:ln w="25400">
          <a:noFill/>
        </a:ln>
      </c:spPr>
    </c:plotArea>
    <c:plotVisOnly val="1"/>
    <c:dispBlanksAs val="zero"/>
    <c:showDLblsOverMax val="0"/>
  </c:chart>
  <c:spPr>
    <a:noFill/>
    <a:ln w="3175">
      <a:solidFill>
        <a:srgbClr val="00008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033" r="0.75000000000000033"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Regulatory</a:t>
            </a:r>
            <a:r>
              <a:rPr lang="en-US" baseline="0"/>
              <a:t> Capital vs. Available Capital and Surplus - Base Scenario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rgbClr val="FFFF00"/>
            </a:solidFill>
            <a:ln>
              <a:noFill/>
            </a:ln>
            <a:effectLst/>
          </c:spPr>
          <c:invertIfNegative val="0"/>
          <c:dPt>
            <c:idx val="1"/>
            <c:invertIfNegative val="0"/>
            <c:bubble3D val="0"/>
            <c:spPr>
              <a:solidFill>
                <a:srgbClr val="0070C0"/>
              </a:solidFill>
              <a:ln>
                <a:noFill/>
              </a:ln>
              <a:effectLst/>
            </c:spPr>
            <c:extLst>
              <c:ext xmlns:c16="http://schemas.microsoft.com/office/drawing/2014/chart" uri="{C3380CC4-5D6E-409C-BE32-E72D297353CC}">
                <c16:uniqueId val="{00000001-75E8-47E3-A10C-973B13D30B41}"/>
              </c:ext>
            </c:extLst>
          </c:dPt>
          <c:dPt>
            <c:idx val="2"/>
            <c:invertIfNegative val="0"/>
            <c:bubble3D val="0"/>
            <c:spPr>
              <a:solidFill>
                <a:srgbClr val="0070C0"/>
              </a:solidFill>
              <a:ln>
                <a:noFill/>
              </a:ln>
              <a:effectLst/>
            </c:spPr>
            <c:extLst>
              <c:ext xmlns:c16="http://schemas.microsoft.com/office/drawing/2014/chart" uri="{C3380CC4-5D6E-409C-BE32-E72D297353CC}">
                <c16:uniqueId val="{00000003-75E8-47E3-A10C-973B13D30B41}"/>
              </c:ext>
            </c:extLst>
          </c:dPt>
          <c:cat>
            <c:strRef>
              <c:f>('3d. Bermuda'!$A$56,'3d. Bermuda'!$A$58,'3d. Bermuda'!$A$60)</c:f>
              <c:strCache>
                <c:ptCount val="3"/>
                <c:pt idx="0">
                  <c:v>Available Economic Capital and Surplus</c:v>
                </c:pt>
                <c:pt idx="1">
                  <c:v>Enhanced Capital Requirement (ECR)</c:v>
                </c:pt>
                <c:pt idx="2">
                  <c:v>Target Capital Level (TCL)</c:v>
                </c:pt>
              </c:strCache>
            </c:strRef>
          </c:cat>
          <c:val>
            <c:numRef>
              <c:f>('3d. Bermuda'!$B$56,'3d. Bermuda'!$B$58,'3d. Bermuda'!$B$60)</c:f>
              <c:numCache>
                <c:formatCode>"$"#,##0_);\("$"#,##0\)</c:formatCode>
                <c:ptCount val="3"/>
                <c:pt idx="0">
                  <c:v>5560420.6102759689</c:v>
                </c:pt>
                <c:pt idx="1">
                  <c:v>1830974.2394123727</c:v>
                </c:pt>
                <c:pt idx="2" formatCode="&quot;$&quot;#,##0">
                  <c:v>2197169.0872948472</c:v>
                </c:pt>
              </c:numCache>
            </c:numRef>
          </c:val>
          <c:extLst>
            <c:ext xmlns:c16="http://schemas.microsoft.com/office/drawing/2014/chart" uri="{C3380CC4-5D6E-409C-BE32-E72D297353CC}">
              <c16:uniqueId val="{00000004-75E8-47E3-A10C-973B13D30B41}"/>
            </c:ext>
          </c:extLst>
        </c:ser>
        <c:dLbls>
          <c:showLegendKey val="0"/>
          <c:showVal val="0"/>
          <c:showCatName val="0"/>
          <c:showSerName val="0"/>
          <c:showPercent val="0"/>
          <c:showBubbleSize val="0"/>
        </c:dLbls>
        <c:gapWidth val="219"/>
        <c:overlap val="-27"/>
        <c:axId val="1249358264"/>
        <c:axId val="1249361544"/>
      </c:barChart>
      <c:catAx>
        <c:axId val="1249358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9361544"/>
        <c:crosses val="autoZero"/>
        <c:auto val="1"/>
        <c:lblAlgn val="ctr"/>
        <c:lblOffset val="100"/>
        <c:noMultiLvlLbl val="0"/>
      </c:catAx>
      <c:valAx>
        <c:axId val="124936154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93582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Regulatory</a:t>
            </a:r>
            <a:r>
              <a:rPr lang="en-US" baseline="0"/>
              <a:t> Capital vs. Available Capital and Surplus - Riskier Assets Scenario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dPt>
            <c:idx val="0"/>
            <c:invertIfNegative val="0"/>
            <c:bubble3D val="0"/>
            <c:spPr>
              <a:solidFill>
                <a:srgbClr val="FFFF00"/>
              </a:solidFill>
              <a:ln>
                <a:noFill/>
              </a:ln>
              <a:effectLst/>
            </c:spPr>
            <c:extLst>
              <c:ext xmlns:c16="http://schemas.microsoft.com/office/drawing/2014/chart" uri="{C3380CC4-5D6E-409C-BE32-E72D297353CC}">
                <c16:uniqueId val="{00000006-1A6F-435B-A7F4-83EDE9B3544C}"/>
              </c:ext>
            </c:extLst>
          </c:dPt>
          <c:dPt>
            <c:idx val="1"/>
            <c:invertIfNegative val="0"/>
            <c:bubble3D val="0"/>
            <c:spPr>
              <a:solidFill>
                <a:srgbClr val="0070C0"/>
              </a:solidFill>
              <a:ln>
                <a:noFill/>
              </a:ln>
              <a:effectLst/>
            </c:spPr>
            <c:extLst>
              <c:ext xmlns:c16="http://schemas.microsoft.com/office/drawing/2014/chart" uri="{C3380CC4-5D6E-409C-BE32-E72D297353CC}">
                <c16:uniqueId val="{00000001-1A6F-435B-A7F4-83EDE9B3544C}"/>
              </c:ext>
            </c:extLst>
          </c:dPt>
          <c:dPt>
            <c:idx val="2"/>
            <c:invertIfNegative val="0"/>
            <c:bubble3D val="0"/>
            <c:spPr>
              <a:solidFill>
                <a:srgbClr val="0070C0"/>
              </a:solidFill>
              <a:ln>
                <a:noFill/>
              </a:ln>
              <a:effectLst/>
            </c:spPr>
            <c:extLst>
              <c:ext xmlns:c16="http://schemas.microsoft.com/office/drawing/2014/chart" uri="{C3380CC4-5D6E-409C-BE32-E72D297353CC}">
                <c16:uniqueId val="{00000003-1A6F-435B-A7F4-83EDE9B3544C}"/>
              </c:ext>
            </c:extLst>
          </c:dPt>
          <c:cat>
            <c:strRef>
              <c:f>('3d. Bermuda'!$A$56,'3d. Bermuda'!$A$58,'3d. Bermuda'!$A$60)</c:f>
              <c:strCache>
                <c:ptCount val="3"/>
                <c:pt idx="0">
                  <c:v>Available Economic Capital and Surplus</c:v>
                </c:pt>
                <c:pt idx="1">
                  <c:v>Enhanced Capital Requirement (ECR)</c:v>
                </c:pt>
                <c:pt idx="2">
                  <c:v>Target Capital Level (TCL)</c:v>
                </c:pt>
              </c:strCache>
            </c:strRef>
          </c:cat>
          <c:val>
            <c:numRef>
              <c:f>('3d. Bermuda'!$D$56,'3d. Bermuda'!$D$58,'3d. Bermuda'!$D$60)</c:f>
              <c:numCache>
                <c:formatCode>"$"#,##0_);\("$"#,##0\)</c:formatCode>
                <c:ptCount val="3"/>
                <c:pt idx="0">
                  <c:v>4783420.6102759689</c:v>
                </c:pt>
                <c:pt idx="1">
                  <c:v>5501050.5959101208</c:v>
                </c:pt>
                <c:pt idx="2" formatCode="&quot;$&quot;#,##0">
                  <c:v>6601260.7150921449</c:v>
                </c:pt>
              </c:numCache>
            </c:numRef>
          </c:val>
          <c:extLst>
            <c:ext xmlns:c16="http://schemas.microsoft.com/office/drawing/2014/chart" uri="{C3380CC4-5D6E-409C-BE32-E72D297353CC}">
              <c16:uniqueId val="{00000004-1A6F-435B-A7F4-83EDE9B3544C}"/>
            </c:ext>
          </c:extLst>
        </c:ser>
        <c:dLbls>
          <c:showLegendKey val="0"/>
          <c:showVal val="0"/>
          <c:showCatName val="0"/>
          <c:showSerName val="0"/>
          <c:showPercent val="0"/>
          <c:showBubbleSize val="0"/>
        </c:dLbls>
        <c:gapWidth val="219"/>
        <c:overlap val="-27"/>
        <c:axId val="1249358264"/>
        <c:axId val="1249361544"/>
      </c:barChart>
      <c:catAx>
        <c:axId val="1249358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9361544"/>
        <c:crosses val="autoZero"/>
        <c:auto val="1"/>
        <c:lblAlgn val="ctr"/>
        <c:lblOffset val="100"/>
        <c:noMultiLvlLbl val="0"/>
      </c:catAx>
      <c:valAx>
        <c:axId val="124936154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93582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Regulatory</a:t>
            </a:r>
            <a:r>
              <a:rPr lang="en-US" baseline="0"/>
              <a:t> Capital vs. Available Capital and Surplus - Change Liability Mix Scenario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dPt>
            <c:idx val="0"/>
            <c:invertIfNegative val="0"/>
            <c:bubble3D val="0"/>
            <c:spPr>
              <a:solidFill>
                <a:srgbClr val="FFFF00"/>
              </a:solidFill>
              <a:ln>
                <a:noFill/>
              </a:ln>
              <a:effectLst/>
            </c:spPr>
            <c:extLst>
              <c:ext xmlns:c16="http://schemas.microsoft.com/office/drawing/2014/chart" uri="{C3380CC4-5D6E-409C-BE32-E72D297353CC}">
                <c16:uniqueId val="{00000001-F696-44B2-8438-74C5FF6C41A9}"/>
              </c:ext>
            </c:extLst>
          </c:dPt>
          <c:dPt>
            <c:idx val="1"/>
            <c:invertIfNegative val="0"/>
            <c:bubble3D val="0"/>
            <c:spPr>
              <a:solidFill>
                <a:srgbClr val="0070C0"/>
              </a:solidFill>
              <a:ln>
                <a:noFill/>
              </a:ln>
              <a:effectLst/>
            </c:spPr>
            <c:extLst>
              <c:ext xmlns:c16="http://schemas.microsoft.com/office/drawing/2014/chart" uri="{C3380CC4-5D6E-409C-BE32-E72D297353CC}">
                <c16:uniqueId val="{00000003-F696-44B2-8438-74C5FF6C41A9}"/>
              </c:ext>
            </c:extLst>
          </c:dPt>
          <c:dPt>
            <c:idx val="2"/>
            <c:invertIfNegative val="0"/>
            <c:bubble3D val="0"/>
            <c:spPr>
              <a:solidFill>
                <a:srgbClr val="0070C0"/>
              </a:solidFill>
              <a:ln>
                <a:noFill/>
              </a:ln>
              <a:effectLst/>
            </c:spPr>
            <c:extLst>
              <c:ext xmlns:c16="http://schemas.microsoft.com/office/drawing/2014/chart" uri="{C3380CC4-5D6E-409C-BE32-E72D297353CC}">
                <c16:uniqueId val="{00000005-F696-44B2-8438-74C5FF6C41A9}"/>
              </c:ext>
            </c:extLst>
          </c:dPt>
          <c:cat>
            <c:strRef>
              <c:f>('3d. Bermuda'!$A$56,'3d. Bermuda'!$A$58,'3d. Bermuda'!$A$60)</c:f>
              <c:strCache>
                <c:ptCount val="3"/>
                <c:pt idx="0">
                  <c:v>Available Economic Capital and Surplus</c:v>
                </c:pt>
                <c:pt idx="1">
                  <c:v>Enhanced Capital Requirement (ECR)</c:v>
                </c:pt>
                <c:pt idx="2">
                  <c:v>Target Capital Level (TCL)</c:v>
                </c:pt>
              </c:strCache>
            </c:strRef>
          </c:cat>
          <c:val>
            <c:numRef>
              <c:f>('3d. Bermuda'!$F$56,'3d. Bermuda'!$F$58,'3d. Bermuda'!$F$60)</c:f>
              <c:numCache>
                <c:formatCode>"$"#,##0_);\("$"#,##0\)</c:formatCode>
                <c:ptCount val="3"/>
                <c:pt idx="0">
                  <c:v>4909205.5578939114</c:v>
                </c:pt>
                <c:pt idx="1">
                  <c:v>1198792.4807725206</c:v>
                </c:pt>
                <c:pt idx="2" formatCode="&quot;$&quot;#,##0">
                  <c:v>1438550.9769270248</c:v>
                </c:pt>
              </c:numCache>
            </c:numRef>
          </c:val>
          <c:extLst>
            <c:ext xmlns:c16="http://schemas.microsoft.com/office/drawing/2014/chart" uri="{C3380CC4-5D6E-409C-BE32-E72D297353CC}">
              <c16:uniqueId val="{00000006-F696-44B2-8438-74C5FF6C41A9}"/>
            </c:ext>
          </c:extLst>
        </c:ser>
        <c:dLbls>
          <c:showLegendKey val="0"/>
          <c:showVal val="0"/>
          <c:showCatName val="0"/>
          <c:showSerName val="0"/>
          <c:showPercent val="0"/>
          <c:showBubbleSize val="0"/>
        </c:dLbls>
        <c:gapWidth val="219"/>
        <c:overlap val="-27"/>
        <c:axId val="1249358264"/>
        <c:axId val="1249361544"/>
      </c:barChart>
      <c:catAx>
        <c:axId val="1249358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9361544"/>
        <c:crosses val="autoZero"/>
        <c:auto val="1"/>
        <c:lblAlgn val="ctr"/>
        <c:lblOffset val="100"/>
        <c:noMultiLvlLbl val="0"/>
      </c:catAx>
      <c:valAx>
        <c:axId val="124936154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93582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sz="1000" b="1" i="0" u="none" strike="noStrike" baseline="0">
                <a:solidFill>
                  <a:srgbClr val="000000"/>
                </a:solidFill>
                <a:latin typeface="Arial"/>
                <a:ea typeface="Arial"/>
                <a:cs typeface="Arial"/>
              </a:defRPr>
            </a:pPr>
            <a:r>
              <a:rPr lang="en-GB"/>
              <a:t>Solvency Capital Distribution - Riskier Asset Scenario</a:t>
            </a:r>
          </a:p>
        </c:rich>
      </c:tx>
      <c:layout>
        <c:manualLayout>
          <c:xMode val="edge"/>
          <c:yMode val="edge"/>
          <c:x val="2.5308181506551439E-2"/>
          <c:y val="2.0689676636270284E-2"/>
        </c:manualLayout>
      </c:layout>
      <c:overlay val="0"/>
      <c:spPr>
        <a:noFill/>
        <a:ln w="25400">
          <a:noFill/>
        </a:ln>
      </c:spPr>
    </c:title>
    <c:autoTitleDeleted val="0"/>
    <c:plotArea>
      <c:layout>
        <c:manualLayout>
          <c:layoutTarget val="inner"/>
          <c:xMode val="edge"/>
          <c:yMode val="edge"/>
          <c:x val="3.1616596002422795E-2"/>
          <c:y val="0.28631978145588949"/>
          <c:w val="0.96838340399757727"/>
          <c:h val="0.52102940703840595"/>
        </c:manualLayout>
      </c:layout>
      <c:pieChart>
        <c:varyColors val="1"/>
        <c:ser>
          <c:idx val="1"/>
          <c:order val="0"/>
          <c:dPt>
            <c:idx val="0"/>
            <c:bubble3D val="0"/>
            <c:spPr>
              <a:solidFill>
                <a:srgbClr val="335899"/>
              </a:solidFill>
            </c:spPr>
            <c:extLst>
              <c:ext xmlns:c16="http://schemas.microsoft.com/office/drawing/2014/chart" uri="{C3380CC4-5D6E-409C-BE32-E72D297353CC}">
                <c16:uniqueId val="{00000001-B800-4064-AD3A-08CA0B93097D}"/>
              </c:ext>
            </c:extLst>
          </c:dPt>
          <c:dPt>
            <c:idx val="1"/>
            <c:bubble3D val="0"/>
            <c:spPr>
              <a:solidFill>
                <a:srgbClr val="BA6124"/>
              </a:solidFill>
            </c:spPr>
            <c:extLst>
              <c:ext xmlns:c16="http://schemas.microsoft.com/office/drawing/2014/chart" uri="{C3380CC4-5D6E-409C-BE32-E72D297353CC}">
                <c16:uniqueId val="{00000003-B800-4064-AD3A-08CA0B93097D}"/>
              </c:ext>
            </c:extLst>
          </c:dPt>
          <c:dPt>
            <c:idx val="2"/>
            <c:bubble3D val="0"/>
            <c:spPr>
              <a:solidFill>
                <a:srgbClr val="818181"/>
              </a:solidFill>
            </c:spPr>
            <c:extLst>
              <c:ext xmlns:c16="http://schemas.microsoft.com/office/drawing/2014/chart" uri="{C3380CC4-5D6E-409C-BE32-E72D297353CC}">
                <c16:uniqueId val="{00000005-B800-4064-AD3A-08CA0B93097D}"/>
              </c:ext>
            </c:extLst>
          </c:dPt>
          <c:dPt>
            <c:idx val="9"/>
            <c:bubble3D val="0"/>
            <c:spPr>
              <a:solidFill>
                <a:srgbClr val="FFCA69"/>
              </a:solidFill>
            </c:spPr>
            <c:extLst>
              <c:ext xmlns:c16="http://schemas.microsoft.com/office/drawing/2014/chart" uri="{C3380CC4-5D6E-409C-BE32-E72D297353CC}">
                <c16:uniqueId val="{00000012-B800-4064-AD3A-08CA0B93097D}"/>
              </c:ext>
            </c:extLst>
          </c:dPt>
          <c:dPt>
            <c:idx val="13"/>
            <c:bubble3D val="0"/>
            <c:spPr>
              <a:solidFill>
                <a:srgbClr val="F5C3B1"/>
              </a:solidFill>
            </c:spPr>
            <c:extLst>
              <c:ext xmlns:c16="http://schemas.microsoft.com/office/drawing/2014/chart" uri="{C3380CC4-5D6E-409C-BE32-E72D297353CC}">
                <c16:uniqueId val="{00000015-B800-4064-AD3A-08CA0B93097D}"/>
              </c:ext>
            </c:extLst>
          </c:dPt>
          <c:dPt>
            <c:idx val="15"/>
            <c:bubble3D val="0"/>
            <c:spPr>
              <a:solidFill>
                <a:srgbClr val="FFDDAD"/>
              </a:solidFill>
            </c:spPr>
            <c:extLst>
              <c:ext xmlns:c16="http://schemas.microsoft.com/office/drawing/2014/chart" uri="{C3380CC4-5D6E-409C-BE32-E72D297353CC}">
                <c16:uniqueId val="{00000016-B800-4064-AD3A-08CA0B93097D}"/>
              </c:ext>
            </c:extLst>
          </c:dPt>
          <c:dLbls>
            <c:dLbl>
              <c:idx val="3"/>
              <c:delete val="1"/>
              <c:extLst>
                <c:ext xmlns:c15="http://schemas.microsoft.com/office/drawing/2012/chart" uri="{CE6537A1-D6FC-4f65-9D91-7224C49458BB}"/>
                <c:ext xmlns:c16="http://schemas.microsoft.com/office/drawing/2014/chart" uri="{C3380CC4-5D6E-409C-BE32-E72D297353CC}">
                  <c16:uniqueId val="{0000000C-B800-4064-AD3A-08CA0B93097D}"/>
                </c:ext>
              </c:extLst>
            </c:dLbl>
            <c:dLbl>
              <c:idx val="4"/>
              <c:delete val="1"/>
              <c:extLst>
                <c:ext xmlns:c15="http://schemas.microsoft.com/office/drawing/2012/chart" uri="{CE6537A1-D6FC-4f65-9D91-7224C49458BB}"/>
                <c:ext xmlns:c16="http://schemas.microsoft.com/office/drawing/2014/chart" uri="{C3380CC4-5D6E-409C-BE32-E72D297353CC}">
                  <c16:uniqueId val="{0000000D-B800-4064-AD3A-08CA0B93097D}"/>
                </c:ext>
              </c:extLst>
            </c:dLbl>
            <c:dLbl>
              <c:idx val="5"/>
              <c:delete val="1"/>
              <c:extLst>
                <c:ext xmlns:c15="http://schemas.microsoft.com/office/drawing/2012/chart" uri="{CE6537A1-D6FC-4f65-9D91-7224C49458BB}"/>
                <c:ext xmlns:c16="http://schemas.microsoft.com/office/drawing/2014/chart" uri="{C3380CC4-5D6E-409C-BE32-E72D297353CC}">
                  <c16:uniqueId val="{0000000E-B800-4064-AD3A-08CA0B93097D}"/>
                </c:ext>
              </c:extLst>
            </c:dLbl>
            <c:dLbl>
              <c:idx val="6"/>
              <c:delete val="1"/>
              <c:extLst>
                <c:ext xmlns:c15="http://schemas.microsoft.com/office/drawing/2012/chart" uri="{CE6537A1-D6FC-4f65-9D91-7224C49458BB}"/>
                <c:ext xmlns:c16="http://schemas.microsoft.com/office/drawing/2014/chart" uri="{C3380CC4-5D6E-409C-BE32-E72D297353CC}">
                  <c16:uniqueId val="{0000000F-B800-4064-AD3A-08CA0B93097D}"/>
                </c:ext>
              </c:extLst>
            </c:dLbl>
            <c:dLbl>
              <c:idx val="7"/>
              <c:delete val="1"/>
              <c:extLst>
                <c:ext xmlns:c15="http://schemas.microsoft.com/office/drawing/2012/chart" uri="{CE6537A1-D6FC-4f65-9D91-7224C49458BB}"/>
                <c:ext xmlns:c16="http://schemas.microsoft.com/office/drawing/2014/chart" uri="{C3380CC4-5D6E-409C-BE32-E72D297353CC}">
                  <c16:uniqueId val="{00000010-B800-4064-AD3A-08CA0B93097D}"/>
                </c:ext>
              </c:extLst>
            </c:dLbl>
            <c:dLbl>
              <c:idx val="8"/>
              <c:delete val="1"/>
              <c:extLst>
                <c:ext xmlns:c15="http://schemas.microsoft.com/office/drawing/2012/chart" uri="{CE6537A1-D6FC-4f65-9D91-7224C49458BB}"/>
                <c:ext xmlns:c16="http://schemas.microsoft.com/office/drawing/2014/chart" uri="{C3380CC4-5D6E-409C-BE32-E72D297353CC}">
                  <c16:uniqueId val="{00000011-B800-4064-AD3A-08CA0B93097D}"/>
                </c:ext>
              </c:extLst>
            </c:dLbl>
            <c:dLbl>
              <c:idx val="9"/>
              <c:layout>
                <c:manualLayout>
                  <c:x val="2.9318223072583263E-2"/>
                  <c:y val="7.2498027910445573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2-B800-4064-AD3A-08CA0B93097D}"/>
                </c:ext>
              </c:extLst>
            </c:dLbl>
            <c:dLbl>
              <c:idx val="10"/>
              <c:delete val="1"/>
              <c:extLst>
                <c:ext xmlns:c15="http://schemas.microsoft.com/office/drawing/2012/chart" uri="{CE6537A1-D6FC-4f65-9D91-7224C49458BB}"/>
                <c:ext xmlns:c16="http://schemas.microsoft.com/office/drawing/2014/chart" uri="{C3380CC4-5D6E-409C-BE32-E72D297353CC}">
                  <c16:uniqueId val="{00000007-B800-4064-AD3A-08CA0B93097D}"/>
                </c:ext>
              </c:extLst>
            </c:dLbl>
            <c:dLbl>
              <c:idx val="11"/>
              <c:delete val="1"/>
              <c:extLst>
                <c:ext xmlns:c15="http://schemas.microsoft.com/office/drawing/2012/chart" uri="{CE6537A1-D6FC-4f65-9D91-7224C49458BB}"/>
                <c:ext xmlns:c16="http://schemas.microsoft.com/office/drawing/2014/chart" uri="{C3380CC4-5D6E-409C-BE32-E72D297353CC}">
                  <c16:uniqueId val="{00000013-B800-4064-AD3A-08CA0B93097D}"/>
                </c:ext>
              </c:extLst>
            </c:dLbl>
            <c:dLbl>
              <c:idx val="12"/>
              <c:delete val="1"/>
              <c:extLst>
                <c:ext xmlns:c15="http://schemas.microsoft.com/office/drawing/2012/chart" uri="{CE6537A1-D6FC-4f65-9D91-7224C49458BB}">
                  <c15:layout>
                    <c:manualLayout>
                      <c:w val="0.16610591900311525"/>
                      <c:h val="3.0698239222829386E-2"/>
                    </c:manualLayout>
                  </c15:layout>
                </c:ext>
                <c:ext xmlns:c16="http://schemas.microsoft.com/office/drawing/2014/chart" uri="{C3380CC4-5D6E-409C-BE32-E72D297353CC}">
                  <c16:uniqueId val="{00000014-B800-4064-AD3A-08CA0B93097D}"/>
                </c:ext>
              </c:extLst>
            </c:dLbl>
            <c:dLbl>
              <c:idx val="13"/>
              <c:layout>
                <c:manualLayout>
                  <c:x val="-0.14802600142271935"/>
                  <c:y val="7.3063216824672872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B800-4064-AD3A-08CA0B93097D}"/>
                </c:ext>
              </c:extLst>
            </c:dLbl>
            <c:dLbl>
              <c:idx val="14"/>
              <c:delete val="1"/>
              <c:extLst>
                <c:ext xmlns:c15="http://schemas.microsoft.com/office/drawing/2012/chart" uri="{CE6537A1-D6FC-4f65-9D91-7224C49458BB}"/>
                <c:ext xmlns:c16="http://schemas.microsoft.com/office/drawing/2014/chart" uri="{C3380CC4-5D6E-409C-BE32-E72D297353CC}">
                  <c16:uniqueId val="{00000009-B800-4064-AD3A-08CA0B93097D}"/>
                </c:ext>
              </c:extLst>
            </c:dLbl>
            <c:dLbl>
              <c:idx val="15"/>
              <c:layout>
                <c:manualLayout>
                  <c:x val="-0.1298830917163393"/>
                  <c:y val="8.180198786627077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6-B800-4064-AD3A-08CA0B93097D}"/>
                </c:ext>
              </c:extLst>
            </c:dLbl>
            <c:spPr>
              <a:noFill/>
              <a:ln>
                <a:noFill/>
              </a:ln>
              <a:effectLst/>
            </c:spPr>
            <c:dLblPos val="ctr"/>
            <c:showLegendKey val="0"/>
            <c:showVal val="1"/>
            <c:showCatName val="1"/>
            <c:showSerName val="0"/>
            <c:showPercent val="0"/>
            <c:showBubbleSize val="0"/>
            <c:showLeaderLines val="1"/>
            <c:extLst>
              <c:ext xmlns:c15="http://schemas.microsoft.com/office/drawing/2012/chart" uri="{CE6537A1-D6FC-4f65-9D91-7224C49458BB}"/>
            </c:extLst>
          </c:dLbls>
          <c:cat>
            <c:strRef>
              <c:f>'3d. Bermuda'!$H$22:$H$37</c:f>
              <c:strCache>
                <c:ptCount val="16"/>
                <c:pt idx="0">
                  <c:v>Fixed Income Investment Risk</c:v>
                </c:pt>
                <c:pt idx="1">
                  <c:v>Equity Investment Risk</c:v>
                </c:pt>
                <c:pt idx="2">
                  <c:v>Interest Rate and Liquidity Risk</c:v>
                </c:pt>
                <c:pt idx="3">
                  <c:v>Currency Risk</c:v>
                </c:pt>
                <c:pt idx="4">
                  <c:v>Concentration Risk</c:v>
                </c:pt>
                <c:pt idx="6">
                  <c:v>P&amp;C Risk</c:v>
                </c:pt>
                <c:pt idx="9">
                  <c:v>Mortality Risk</c:v>
                </c:pt>
                <c:pt idx="10">
                  <c:v>Stop Loss Risk</c:v>
                </c:pt>
                <c:pt idx="11">
                  <c:v>Rider Risk</c:v>
                </c:pt>
                <c:pt idx="12">
                  <c:v>Morbidity Risk</c:v>
                </c:pt>
                <c:pt idx="13">
                  <c:v>Longevity Risk</c:v>
                </c:pt>
                <c:pt idx="14">
                  <c:v>Variable Annuity Risk</c:v>
                </c:pt>
                <c:pt idx="15">
                  <c:v>Long Term Other Insurance Risk</c:v>
                </c:pt>
              </c:strCache>
            </c:strRef>
          </c:cat>
          <c:val>
            <c:numRef>
              <c:f>'3d. Bermuda'!$K$22:$K$37</c:f>
              <c:numCache>
                <c:formatCode>0.0%</c:formatCode>
                <c:ptCount val="16"/>
                <c:pt idx="0">
                  <c:v>9.1752985776693725E-3</c:v>
                </c:pt>
                <c:pt idx="1">
                  <c:v>0.60129383882784726</c:v>
                </c:pt>
                <c:pt idx="2">
                  <c:v>0.2583035148030256</c:v>
                </c:pt>
                <c:pt idx="3">
                  <c:v>0</c:v>
                </c:pt>
                <c:pt idx="4">
                  <c:v>0</c:v>
                </c:pt>
                <c:pt idx="6">
                  <c:v>0</c:v>
                </c:pt>
                <c:pt idx="9">
                  <c:v>8.1554175361598785E-2</c:v>
                </c:pt>
                <c:pt idx="10">
                  <c:v>0</c:v>
                </c:pt>
                <c:pt idx="11">
                  <c:v>0</c:v>
                </c:pt>
                <c:pt idx="12">
                  <c:v>0</c:v>
                </c:pt>
                <c:pt idx="13">
                  <c:v>4.5886281961832052E-2</c:v>
                </c:pt>
                <c:pt idx="14">
                  <c:v>0</c:v>
                </c:pt>
                <c:pt idx="15">
                  <c:v>3.7868904680269507E-3</c:v>
                </c:pt>
              </c:numCache>
            </c:numRef>
          </c:val>
          <c:extLst>
            <c:ext xmlns:c16="http://schemas.microsoft.com/office/drawing/2014/chart" uri="{C3380CC4-5D6E-409C-BE32-E72D297353CC}">
              <c16:uniqueId val="{00000017-B800-4064-AD3A-08CA0B93097D}"/>
            </c:ext>
          </c:extLst>
        </c:ser>
        <c:dLbls>
          <c:showLegendKey val="0"/>
          <c:showVal val="0"/>
          <c:showCatName val="0"/>
          <c:showSerName val="0"/>
          <c:showPercent val="0"/>
          <c:showBubbleSize val="0"/>
          <c:showLeaderLines val="1"/>
        </c:dLbls>
        <c:firstSliceAng val="45"/>
      </c:pieChart>
      <c:spPr>
        <a:noFill/>
        <a:ln w="25400">
          <a:noFill/>
        </a:ln>
      </c:spPr>
    </c:plotArea>
    <c:plotVisOnly val="1"/>
    <c:dispBlanksAs val="zero"/>
    <c:showDLblsOverMax val="0"/>
  </c:chart>
  <c:spPr>
    <a:noFill/>
    <a:ln w="3175">
      <a:solidFill>
        <a:srgbClr val="00008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033" r="0.75000000000000033" t="1" header="0.5" footer="0.5"/>
    <c:pageSetup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sz="1000" b="1" i="0" u="none" strike="noStrike" baseline="0">
                <a:solidFill>
                  <a:srgbClr val="000000"/>
                </a:solidFill>
                <a:latin typeface="Arial"/>
                <a:ea typeface="Arial"/>
                <a:cs typeface="Arial"/>
              </a:defRPr>
            </a:pPr>
            <a:r>
              <a:rPr lang="en-GB"/>
              <a:t>Solvency Capital Distribution - Change Liability Mix Scenario</a:t>
            </a:r>
          </a:p>
        </c:rich>
      </c:tx>
      <c:layout>
        <c:manualLayout>
          <c:xMode val="edge"/>
          <c:yMode val="edge"/>
          <c:x val="2.5308181506551439E-2"/>
          <c:y val="2.0689676636270284E-2"/>
        </c:manualLayout>
      </c:layout>
      <c:overlay val="0"/>
      <c:spPr>
        <a:noFill/>
        <a:ln w="25400">
          <a:noFill/>
        </a:ln>
      </c:spPr>
    </c:title>
    <c:autoTitleDeleted val="0"/>
    <c:plotArea>
      <c:layout>
        <c:manualLayout>
          <c:layoutTarget val="inner"/>
          <c:xMode val="edge"/>
          <c:yMode val="edge"/>
          <c:x val="3.1616596002422795E-2"/>
          <c:y val="0.28631978145588949"/>
          <c:w val="0.96838340399757727"/>
          <c:h val="0.52102940703840595"/>
        </c:manualLayout>
      </c:layout>
      <c:pieChart>
        <c:varyColors val="1"/>
        <c:ser>
          <c:idx val="1"/>
          <c:order val="0"/>
          <c:dPt>
            <c:idx val="0"/>
            <c:bubble3D val="0"/>
            <c:spPr>
              <a:solidFill>
                <a:srgbClr val="335899"/>
              </a:solidFill>
            </c:spPr>
            <c:extLst>
              <c:ext xmlns:c16="http://schemas.microsoft.com/office/drawing/2014/chart" uri="{C3380CC4-5D6E-409C-BE32-E72D297353CC}">
                <c16:uniqueId val="{00000001-FA58-4812-B17F-CA6EDCCE6090}"/>
              </c:ext>
            </c:extLst>
          </c:dPt>
          <c:dPt>
            <c:idx val="1"/>
            <c:bubble3D val="0"/>
            <c:spPr>
              <a:solidFill>
                <a:srgbClr val="BA6124"/>
              </a:solidFill>
            </c:spPr>
            <c:extLst>
              <c:ext xmlns:c16="http://schemas.microsoft.com/office/drawing/2014/chart" uri="{C3380CC4-5D6E-409C-BE32-E72D297353CC}">
                <c16:uniqueId val="{00000003-FA58-4812-B17F-CA6EDCCE6090}"/>
              </c:ext>
            </c:extLst>
          </c:dPt>
          <c:dPt>
            <c:idx val="2"/>
            <c:bubble3D val="0"/>
            <c:spPr>
              <a:solidFill>
                <a:srgbClr val="818181"/>
              </a:solidFill>
            </c:spPr>
            <c:extLst>
              <c:ext xmlns:c16="http://schemas.microsoft.com/office/drawing/2014/chart" uri="{C3380CC4-5D6E-409C-BE32-E72D297353CC}">
                <c16:uniqueId val="{00000005-FA58-4812-B17F-CA6EDCCE6090}"/>
              </c:ext>
            </c:extLst>
          </c:dPt>
          <c:dPt>
            <c:idx val="9"/>
            <c:bubble3D val="0"/>
            <c:spPr>
              <a:solidFill>
                <a:srgbClr val="FFCA69"/>
              </a:solidFill>
            </c:spPr>
            <c:extLst>
              <c:ext xmlns:c16="http://schemas.microsoft.com/office/drawing/2014/chart" uri="{C3380CC4-5D6E-409C-BE32-E72D297353CC}">
                <c16:uniqueId val="{00000007-BD42-4800-82A2-9074104CDC69}"/>
              </c:ext>
            </c:extLst>
          </c:dPt>
          <c:dPt>
            <c:idx val="13"/>
            <c:bubble3D val="0"/>
            <c:spPr>
              <a:solidFill>
                <a:srgbClr val="F5C3B1"/>
              </a:solidFill>
            </c:spPr>
            <c:extLst>
              <c:ext xmlns:c16="http://schemas.microsoft.com/office/drawing/2014/chart" uri="{C3380CC4-5D6E-409C-BE32-E72D297353CC}">
                <c16:uniqueId val="{00000015-FA58-4812-B17F-CA6EDCCE6090}"/>
              </c:ext>
            </c:extLst>
          </c:dPt>
          <c:dPt>
            <c:idx val="15"/>
            <c:bubble3D val="0"/>
            <c:spPr>
              <a:solidFill>
                <a:srgbClr val="FFDDAD"/>
              </a:solidFill>
            </c:spPr>
            <c:extLst>
              <c:ext xmlns:c16="http://schemas.microsoft.com/office/drawing/2014/chart" uri="{C3380CC4-5D6E-409C-BE32-E72D297353CC}">
                <c16:uniqueId val="{00000016-FA58-4812-B17F-CA6EDCCE6090}"/>
              </c:ext>
            </c:extLst>
          </c:dPt>
          <c:dLbls>
            <c:dLbl>
              <c:idx val="0"/>
              <c:layout>
                <c:manualLayout>
                  <c:x val="-7.5115068560355283E-2"/>
                  <c:y val="5.7343870267582669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A58-4812-B17F-CA6EDCCE6090}"/>
                </c:ext>
              </c:extLst>
            </c:dLbl>
            <c:dLbl>
              <c:idx val="1"/>
              <c:layout>
                <c:manualLayout>
                  <c:x val="-2.7347805823337502E-2"/>
                  <c:y val="-1.5714852583317795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A58-4812-B17F-CA6EDCCE6090}"/>
                </c:ext>
              </c:extLst>
            </c:dLbl>
            <c:dLbl>
              <c:idx val="2"/>
              <c:layout>
                <c:manualLayout>
                  <c:x val="-6.125248362646258E-2"/>
                  <c:y val="-8.9852033523132105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FA58-4812-B17F-CA6EDCCE6090}"/>
                </c:ext>
              </c:extLst>
            </c:dLbl>
            <c:dLbl>
              <c:idx val="3"/>
              <c:delete val="1"/>
              <c:extLst>
                <c:ext xmlns:c15="http://schemas.microsoft.com/office/drawing/2012/chart" uri="{CE6537A1-D6FC-4f65-9D91-7224C49458BB}"/>
                <c:ext xmlns:c16="http://schemas.microsoft.com/office/drawing/2014/chart" uri="{C3380CC4-5D6E-409C-BE32-E72D297353CC}">
                  <c16:uniqueId val="{0000000C-FA58-4812-B17F-CA6EDCCE6090}"/>
                </c:ext>
              </c:extLst>
            </c:dLbl>
            <c:dLbl>
              <c:idx val="4"/>
              <c:delete val="1"/>
              <c:extLst>
                <c:ext xmlns:c15="http://schemas.microsoft.com/office/drawing/2012/chart" uri="{CE6537A1-D6FC-4f65-9D91-7224C49458BB}"/>
                <c:ext xmlns:c16="http://schemas.microsoft.com/office/drawing/2014/chart" uri="{C3380CC4-5D6E-409C-BE32-E72D297353CC}">
                  <c16:uniqueId val="{0000000D-FA58-4812-B17F-CA6EDCCE6090}"/>
                </c:ext>
              </c:extLst>
            </c:dLbl>
            <c:dLbl>
              <c:idx val="6"/>
              <c:delete val="1"/>
              <c:extLst>
                <c:ext xmlns:c15="http://schemas.microsoft.com/office/drawing/2012/chart" uri="{CE6537A1-D6FC-4f65-9D91-7224C49458BB}"/>
                <c:ext xmlns:c16="http://schemas.microsoft.com/office/drawing/2014/chart" uri="{C3380CC4-5D6E-409C-BE32-E72D297353CC}">
                  <c16:uniqueId val="{0000000F-FA58-4812-B17F-CA6EDCCE6090}"/>
                </c:ext>
              </c:extLst>
            </c:dLbl>
            <c:dLbl>
              <c:idx val="9"/>
              <c:layout>
                <c:manualLayout>
                  <c:x val="8.4578997718743096E-2"/>
                  <c:y val="-4.5921527568616761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7-BD42-4800-82A2-9074104CDC69}"/>
                </c:ext>
              </c:extLst>
            </c:dLbl>
            <c:dLbl>
              <c:idx val="10"/>
              <c:delete val="1"/>
              <c:extLst>
                <c:ext xmlns:c15="http://schemas.microsoft.com/office/drawing/2012/chart" uri="{CE6537A1-D6FC-4f65-9D91-7224C49458BB}"/>
                <c:ext xmlns:c16="http://schemas.microsoft.com/office/drawing/2014/chart" uri="{C3380CC4-5D6E-409C-BE32-E72D297353CC}">
                  <c16:uniqueId val="{00000007-FA58-4812-B17F-CA6EDCCE6090}"/>
                </c:ext>
              </c:extLst>
            </c:dLbl>
            <c:dLbl>
              <c:idx val="11"/>
              <c:delete val="1"/>
              <c:extLst>
                <c:ext xmlns:c15="http://schemas.microsoft.com/office/drawing/2012/chart" uri="{CE6537A1-D6FC-4f65-9D91-7224C49458BB}"/>
                <c:ext xmlns:c16="http://schemas.microsoft.com/office/drawing/2014/chart" uri="{C3380CC4-5D6E-409C-BE32-E72D297353CC}">
                  <c16:uniqueId val="{00000013-FA58-4812-B17F-CA6EDCCE6090}"/>
                </c:ext>
              </c:extLst>
            </c:dLbl>
            <c:dLbl>
              <c:idx val="12"/>
              <c:delete val="1"/>
              <c:extLst>
                <c:ext xmlns:c15="http://schemas.microsoft.com/office/drawing/2012/chart" uri="{CE6537A1-D6FC-4f65-9D91-7224C49458BB}"/>
                <c:ext xmlns:c16="http://schemas.microsoft.com/office/drawing/2014/chart" uri="{C3380CC4-5D6E-409C-BE32-E72D297353CC}">
                  <c16:uniqueId val="{00000014-FA58-4812-B17F-CA6EDCCE6090}"/>
                </c:ext>
              </c:extLst>
            </c:dLbl>
            <c:dLbl>
              <c:idx val="13"/>
              <c:layout>
                <c:manualLayout>
                  <c:x val="0.16298574827679246"/>
                  <c:y val="7.0711051828903901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FA58-4812-B17F-CA6EDCCE6090}"/>
                </c:ext>
              </c:extLst>
            </c:dLbl>
            <c:dLbl>
              <c:idx val="14"/>
              <c:delete val="1"/>
              <c:extLst>
                <c:ext xmlns:c15="http://schemas.microsoft.com/office/drawing/2012/chart" uri="{CE6537A1-D6FC-4f65-9D91-7224C49458BB}"/>
                <c:ext xmlns:c16="http://schemas.microsoft.com/office/drawing/2014/chart" uri="{C3380CC4-5D6E-409C-BE32-E72D297353CC}">
                  <c16:uniqueId val="{00000009-FA58-4812-B17F-CA6EDCCE6090}"/>
                </c:ext>
              </c:extLst>
            </c:dLbl>
            <c:dLbl>
              <c:idx val="15"/>
              <c:layout>
                <c:manualLayout>
                  <c:x val="-0.16013049770647828"/>
                  <c:y val="6.5755824237817229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6-FA58-4812-B17F-CA6EDCCE6090}"/>
                </c:ext>
              </c:extLst>
            </c:dLbl>
            <c:spPr>
              <a:noFill/>
              <a:ln>
                <a:noFill/>
              </a:ln>
              <a:effectLst/>
            </c:spPr>
            <c:dLblPos val="ctr"/>
            <c:showLegendKey val="0"/>
            <c:showVal val="0"/>
            <c:showCatName val="1"/>
            <c:showSerName val="0"/>
            <c:showPercent val="0"/>
            <c:showBubbleSize val="0"/>
            <c:showLeaderLines val="1"/>
            <c:extLst>
              <c:ext xmlns:c15="http://schemas.microsoft.com/office/drawing/2012/chart" uri="{CE6537A1-D6FC-4f65-9D91-7224C49458BB}"/>
            </c:extLst>
          </c:dLbls>
          <c:cat>
            <c:strRef>
              <c:f>'3d. Bermuda'!$H$22:$H$37</c:f>
              <c:strCache>
                <c:ptCount val="16"/>
                <c:pt idx="0">
                  <c:v>Fixed Income Investment Risk</c:v>
                </c:pt>
                <c:pt idx="1">
                  <c:v>Equity Investment Risk</c:v>
                </c:pt>
                <c:pt idx="2">
                  <c:v>Interest Rate and Liquidity Risk</c:v>
                </c:pt>
                <c:pt idx="3">
                  <c:v>Currency Risk</c:v>
                </c:pt>
                <c:pt idx="4">
                  <c:v>Concentration Risk</c:v>
                </c:pt>
                <c:pt idx="6">
                  <c:v>P&amp;C Risk</c:v>
                </c:pt>
                <c:pt idx="9">
                  <c:v>Mortality Risk</c:v>
                </c:pt>
                <c:pt idx="10">
                  <c:v>Stop Loss Risk</c:v>
                </c:pt>
                <c:pt idx="11">
                  <c:v>Rider Risk</c:v>
                </c:pt>
                <c:pt idx="12">
                  <c:v>Morbidity Risk</c:v>
                </c:pt>
                <c:pt idx="13">
                  <c:v>Longevity Risk</c:v>
                </c:pt>
                <c:pt idx="14">
                  <c:v>Variable Annuity Risk</c:v>
                </c:pt>
                <c:pt idx="15">
                  <c:v>Long Term Other Insurance Risk</c:v>
                </c:pt>
              </c:strCache>
            </c:strRef>
          </c:cat>
          <c:val>
            <c:numRef>
              <c:f>'3d. Bermuda'!$M$22:$M$37</c:f>
              <c:numCache>
                <c:formatCode>0.0%</c:formatCode>
                <c:ptCount val="16"/>
                <c:pt idx="0">
                  <c:v>6.316901577433294E-2</c:v>
                </c:pt>
                <c:pt idx="1">
                  <c:v>0.32130516667130787</c:v>
                </c:pt>
                <c:pt idx="2">
                  <c:v>0.23285132901355018</c:v>
                </c:pt>
                <c:pt idx="3">
                  <c:v>0</c:v>
                </c:pt>
                <c:pt idx="4">
                  <c:v>0</c:v>
                </c:pt>
                <c:pt idx="6">
                  <c:v>0</c:v>
                </c:pt>
                <c:pt idx="9">
                  <c:v>0.14003412267407675</c:v>
                </c:pt>
                <c:pt idx="10">
                  <c:v>0</c:v>
                </c:pt>
                <c:pt idx="11">
                  <c:v>0</c:v>
                </c:pt>
                <c:pt idx="12">
                  <c:v>0</c:v>
                </c:pt>
                <c:pt idx="13">
                  <c:v>0.23613801473631202</c:v>
                </c:pt>
                <c:pt idx="14">
                  <c:v>0</c:v>
                </c:pt>
                <c:pt idx="15">
                  <c:v>6.5023511304201859E-3</c:v>
                </c:pt>
              </c:numCache>
            </c:numRef>
          </c:val>
          <c:extLst>
            <c:ext xmlns:c16="http://schemas.microsoft.com/office/drawing/2014/chart" uri="{C3380CC4-5D6E-409C-BE32-E72D297353CC}">
              <c16:uniqueId val="{00000017-FA58-4812-B17F-CA6EDCCE6090}"/>
            </c:ext>
          </c:extLst>
        </c:ser>
        <c:dLbls>
          <c:dLblPos val="ctr"/>
          <c:showLegendKey val="0"/>
          <c:showVal val="1"/>
          <c:showCatName val="0"/>
          <c:showSerName val="0"/>
          <c:showPercent val="0"/>
          <c:showBubbleSize val="0"/>
          <c:showLeaderLines val="1"/>
        </c:dLbls>
        <c:firstSliceAng val="45"/>
      </c:pieChart>
      <c:spPr>
        <a:noFill/>
        <a:ln w="25400">
          <a:noFill/>
        </a:ln>
      </c:spPr>
    </c:plotArea>
    <c:plotVisOnly val="1"/>
    <c:dispBlanksAs val="zero"/>
    <c:showDLblsOverMax val="0"/>
  </c:chart>
  <c:spPr>
    <a:noFill/>
    <a:ln w="3175">
      <a:solidFill>
        <a:srgbClr val="00008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033" r="0.75000000000000033" t="1" header="0.5" footer="0.5"/>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0</xdr:col>
      <xdr:colOff>190501</xdr:colOff>
      <xdr:row>0</xdr:row>
      <xdr:rowOff>180975</xdr:rowOff>
    </xdr:from>
    <xdr:to>
      <xdr:col>3</xdr:col>
      <xdr:colOff>594249</xdr:colOff>
      <xdr:row>1</xdr:row>
      <xdr:rowOff>857250</xdr:rowOff>
    </xdr:to>
    <xdr:pic>
      <xdr:nvPicPr>
        <xdr:cNvPr id="2" name="Picture 1">
          <a:extLst>
            <a:ext uri="{FF2B5EF4-FFF2-40B4-BE49-F238E27FC236}">
              <a16:creationId xmlns:a16="http://schemas.microsoft.com/office/drawing/2014/main" id="{43E53CD5-AB47-492A-B68D-6D9CAF8D87CF}"/>
            </a:ext>
          </a:extLst>
        </xdr:cNvPr>
        <xdr:cNvPicPr>
          <a:picLocks noChangeAspect="1"/>
        </xdr:cNvPicPr>
      </xdr:nvPicPr>
      <xdr:blipFill>
        <a:blip xmlns:r="http://schemas.openxmlformats.org/officeDocument/2006/relationships" r:embed="rId1"/>
        <a:stretch>
          <a:fillRect/>
        </a:stretch>
      </xdr:blipFill>
      <xdr:spPr>
        <a:xfrm>
          <a:off x="190501" y="180975"/>
          <a:ext cx="1870598" cy="86296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62</xdr:row>
      <xdr:rowOff>0</xdr:rowOff>
    </xdr:from>
    <xdr:to>
      <xdr:col>1</xdr:col>
      <xdr:colOff>408215</xdr:colOff>
      <xdr:row>119</xdr:row>
      <xdr:rowOff>117022</xdr:rowOff>
    </xdr:to>
    <xdr:graphicFrame macro="">
      <xdr:nvGraphicFramePr>
        <xdr:cNvPr id="2" name="Chart 17">
          <a:extLst>
            <a:ext uri="{FF2B5EF4-FFF2-40B4-BE49-F238E27FC236}">
              <a16:creationId xmlns:a16="http://schemas.microsoft.com/office/drawing/2014/main" id="{9105D426-D787-49B8-B27F-5122CD9489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0</xdr:col>
      <xdr:colOff>0</xdr:colOff>
      <xdr:row>120</xdr:row>
      <xdr:rowOff>0</xdr:rowOff>
    </xdr:from>
    <xdr:to>
      <xdr:col>1</xdr:col>
      <xdr:colOff>353785</xdr:colOff>
      <xdr:row>135</xdr:row>
      <xdr:rowOff>21772</xdr:rowOff>
    </xdr:to>
    <xdr:graphicFrame macro="">
      <xdr:nvGraphicFramePr>
        <xdr:cNvPr id="6" name="Chart 5">
          <a:extLst>
            <a:ext uri="{FF2B5EF4-FFF2-40B4-BE49-F238E27FC236}">
              <a16:creationId xmlns:a16="http://schemas.microsoft.com/office/drawing/2014/main" id="{7B5C0928-3074-4BB5-BF3F-2691FAC599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876300</xdr:colOff>
      <xdr:row>120</xdr:row>
      <xdr:rowOff>120196</xdr:rowOff>
    </xdr:from>
    <xdr:to>
      <xdr:col>9</xdr:col>
      <xdr:colOff>113845</xdr:colOff>
      <xdr:row>135</xdr:row>
      <xdr:rowOff>141968</xdr:rowOff>
    </xdr:to>
    <xdr:graphicFrame macro="">
      <xdr:nvGraphicFramePr>
        <xdr:cNvPr id="7" name="Chart 6">
          <a:extLst>
            <a:ext uri="{FF2B5EF4-FFF2-40B4-BE49-F238E27FC236}">
              <a16:creationId xmlns:a16="http://schemas.microsoft.com/office/drawing/2014/main" id="{BDAFEAD9-D586-450F-98A2-E85454931CB9}"/>
            </a:ext>
            <a:ext uri="{147F2762-F138-4A5C-976F-8EAC2B608ADB}">
              <a16:predDERef xmlns:a16="http://schemas.microsoft.com/office/drawing/2014/main" pred="{7B5C0928-3074-4BB5-BF3F-2691FAC599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0</xdr:colOff>
      <xdr:row>120</xdr:row>
      <xdr:rowOff>0</xdr:rowOff>
    </xdr:from>
    <xdr:to>
      <xdr:col>18</xdr:col>
      <xdr:colOff>263070</xdr:colOff>
      <xdr:row>135</xdr:row>
      <xdr:rowOff>21772</xdr:rowOff>
    </xdr:to>
    <xdr:graphicFrame macro="">
      <xdr:nvGraphicFramePr>
        <xdr:cNvPr id="8" name="Chart 7">
          <a:extLst>
            <a:ext uri="{FF2B5EF4-FFF2-40B4-BE49-F238E27FC236}">
              <a16:creationId xmlns:a16="http://schemas.microsoft.com/office/drawing/2014/main" id="{75C808D7-3D2D-49C6-9A3C-D19E986CCC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589643</xdr:colOff>
      <xdr:row>62</xdr:row>
      <xdr:rowOff>18143</xdr:rowOff>
    </xdr:from>
    <xdr:to>
      <xdr:col>7</xdr:col>
      <xdr:colOff>1113518</xdr:colOff>
      <xdr:row>119</xdr:row>
      <xdr:rowOff>135165</xdr:rowOff>
    </xdr:to>
    <xdr:graphicFrame macro="">
      <xdr:nvGraphicFramePr>
        <xdr:cNvPr id="9" name="Chart 17">
          <a:extLst>
            <a:ext uri="{FF2B5EF4-FFF2-40B4-BE49-F238E27FC236}">
              <a16:creationId xmlns:a16="http://schemas.microsoft.com/office/drawing/2014/main" id="{49B0CB45-6614-4E67-A79B-CF39BF1B8B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twoCellAnchor>
  <xdr:twoCellAnchor>
    <xdr:from>
      <xdr:col>8</xdr:col>
      <xdr:colOff>0</xdr:colOff>
      <xdr:row>62</xdr:row>
      <xdr:rowOff>0</xdr:rowOff>
    </xdr:from>
    <xdr:to>
      <xdr:col>17</xdr:col>
      <xdr:colOff>297089</xdr:colOff>
      <xdr:row>119</xdr:row>
      <xdr:rowOff>117022</xdr:rowOff>
    </xdr:to>
    <xdr:graphicFrame macro="">
      <xdr:nvGraphicFramePr>
        <xdr:cNvPr id="10" name="Chart 17">
          <a:extLst>
            <a:ext uri="{FF2B5EF4-FFF2-40B4-BE49-F238E27FC236}">
              <a16:creationId xmlns:a16="http://schemas.microsoft.com/office/drawing/2014/main" id="{BC554163-C3BA-46E7-BA37-106AEE9DA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twoCellAnchor>
</xdr:wsDr>
</file>

<file path=xl/theme/theme1.xml><?xml version="1.0" encoding="utf-8"?>
<a:theme xmlns:a="http://schemas.openxmlformats.org/drawingml/2006/main" name="Office Theme">
  <a:themeElements>
    <a:clrScheme name="RRC">
      <a:dk1>
        <a:sysClr val="windowText" lastClr="000000"/>
      </a:dk1>
      <a:lt1>
        <a:sysClr val="window" lastClr="FFFFFF"/>
      </a:lt1>
      <a:dk2>
        <a:srgbClr val="009CDE"/>
      </a:dk2>
      <a:lt2>
        <a:srgbClr val="3F9C35"/>
      </a:lt2>
      <a:accent1>
        <a:srgbClr val="888B8D"/>
      </a:accent1>
      <a:accent2>
        <a:srgbClr val="34A798"/>
      </a:accent2>
      <a:accent3>
        <a:srgbClr val="9F5CC0"/>
      </a:accent3>
      <a:accent4>
        <a:srgbClr val="F1B434"/>
      </a:accent4>
      <a:accent5>
        <a:srgbClr val="E40046"/>
      </a:accent5>
      <a:accent6>
        <a:srgbClr val="A2A569"/>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0B8D5-76D0-448E-AE2B-E472AF0A8702}">
  <sheetPr codeName="Sheet12"/>
  <dimension ref="A2:Q53"/>
  <sheetViews>
    <sheetView showGridLines="0" tabSelected="1" workbookViewId="0"/>
  </sheetViews>
  <sheetFormatPr defaultRowHeight="15"/>
  <cols>
    <col min="1" max="1" width="3.7109375" style="76" customWidth="1"/>
  </cols>
  <sheetData>
    <row r="2" spans="2:17" ht="82.5" customHeight="1">
      <c r="L2" s="81" t="s">
        <v>409</v>
      </c>
    </row>
    <row r="3" spans="2:17" ht="33.75">
      <c r="B3" s="80" t="s">
        <v>512</v>
      </c>
    </row>
    <row r="4" spans="2:17" ht="23.25">
      <c r="B4" s="79" t="s">
        <v>513</v>
      </c>
    </row>
    <row r="6" spans="2:17" ht="23.25">
      <c r="B6" s="78" t="s">
        <v>408</v>
      </c>
    </row>
    <row r="8" spans="2:17" ht="17.25">
      <c r="B8" s="77" t="s">
        <v>407</v>
      </c>
    </row>
    <row r="9" spans="2:17" ht="17.25">
      <c r="B9" s="77" t="s">
        <v>406</v>
      </c>
    </row>
    <row r="10" spans="2:17" ht="17.25">
      <c r="B10" s="77" t="s">
        <v>410</v>
      </c>
    </row>
    <row r="11" spans="2:17">
      <c r="B11" s="19" t="s">
        <v>405</v>
      </c>
    </row>
    <row r="12" spans="2:17" ht="40.15" customHeight="1">
      <c r="B12" s="338" t="s">
        <v>411</v>
      </c>
      <c r="C12" s="338"/>
      <c r="D12" s="338"/>
      <c r="E12" s="338"/>
      <c r="F12" s="338"/>
      <c r="G12" s="338"/>
      <c r="H12" s="338"/>
      <c r="I12" s="338"/>
      <c r="J12" s="338"/>
      <c r="K12" s="338"/>
      <c r="L12" s="338"/>
      <c r="M12" s="338"/>
      <c r="N12" s="338"/>
      <c r="O12" s="338"/>
      <c r="P12" s="338"/>
      <c r="Q12" s="338"/>
    </row>
    <row r="13" spans="2:17" ht="17.25">
      <c r="B13" s="83" t="s">
        <v>412</v>
      </c>
    </row>
    <row r="14" spans="2:17" ht="17.25">
      <c r="B14" s="77" t="s">
        <v>413</v>
      </c>
    </row>
    <row r="15" spans="2:17" ht="46.15" customHeight="1">
      <c r="B15" s="338" t="s">
        <v>420</v>
      </c>
      <c r="C15" s="338"/>
      <c r="D15" s="338"/>
      <c r="E15" s="338"/>
      <c r="F15" s="338"/>
      <c r="G15" s="338"/>
      <c r="H15" s="338"/>
      <c r="I15" s="338"/>
      <c r="J15" s="338"/>
      <c r="K15" s="338"/>
      <c r="L15" s="338"/>
      <c r="M15" s="338"/>
      <c r="N15" s="338"/>
      <c r="O15" s="338"/>
      <c r="P15" s="338"/>
      <c r="Q15" s="338"/>
    </row>
    <row r="16" spans="2:17" ht="17.25">
      <c r="B16" s="77" t="s">
        <v>421</v>
      </c>
    </row>
    <row r="17" spans="2:2" ht="17.25">
      <c r="B17" s="82" t="s">
        <v>414</v>
      </c>
    </row>
    <row r="18" spans="2:2" ht="17.25">
      <c r="B18" s="82"/>
    </row>
    <row r="20" spans="2:2" ht="17.25">
      <c r="B20" s="84" t="s">
        <v>415</v>
      </c>
    </row>
    <row r="21" spans="2:2" ht="17.25">
      <c r="B21" s="77" t="s">
        <v>416</v>
      </c>
    </row>
    <row r="22" spans="2:2" ht="17.25">
      <c r="B22" s="77" t="s">
        <v>417</v>
      </c>
    </row>
    <row r="23" spans="2:2" ht="17.25">
      <c r="B23" s="77" t="s">
        <v>418</v>
      </c>
    </row>
    <row r="25" spans="2:2" ht="17.25">
      <c r="B25" s="83" t="s">
        <v>419</v>
      </c>
    </row>
    <row r="26" spans="2:2" ht="17.25">
      <c r="B26" s="85" t="s">
        <v>422</v>
      </c>
    </row>
    <row r="27" spans="2:2" ht="17.25">
      <c r="B27" s="85" t="s">
        <v>423</v>
      </c>
    </row>
    <row r="28" spans="2:2" ht="17.25">
      <c r="B28" s="85" t="s">
        <v>426</v>
      </c>
    </row>
    <row r="29" spans="2:2" ht="17.25">
      <c r="B29" s="85" t="s">
        <v>427</v>
      </c>
    </row>
    <row r="30" spans="2:2" ht="17.25">
      <c r="B30" s="85" t="s">
        <v>621</v>
      </c>
    </row>
    <row r="31" spans="2:2" ht="17.25">
      <c r="B31" s="85" t="s">
        <v>622</v>
      </c>
    </row>
    <row r="32" spans="2:2" ht="17.25">
      <c r="B32" s="85" t="s">
        <v>428</v>
      </c>
    </row>
    <row r="33" spans="2:17" ht="17.25">
      <c r="B33" s="85" t="s">
        <v>623</v>
      </c>
    </row>
    <row r="34" spans="2:17" ht="17.25">
      <c r="B34" s="85" t="s">
        <v>429</v>
      </c>
    </row>
    <row r="35" spans="2:17" ht="17.25">
      <c r="B35" s="85" t="s">
        <v>430</v>
      </c>
    </row>
    <row r="36" spans="2:17" ht="17.25">
      <c r="B36" s="85" t="s">
        <v>431</v>
      </c>
    </row>
    <row r="37" spans="2:17" ht="17.25">
      <c r="B37" s="86" t="s">
        <v>425</v>
      </c>
    </row>
    <row r="38" spans="2:17" ht="17.25">
      <c r="B38" s="85" t="s">
        <v>424</v>
      </c>
    </row>
    <row r="39" spans="2:17" ht="17.25">
      <c r="B39" s="85" t="s">
        <v>432</v>
      </c>
    </row>
    <row r="40" spans="2:17" ht="17.25">
      <c r="B40" s="85" t="s">
        <v>433</v>
      </c>
    </row>
    <row r="42" spans="2:17" ht="17.25">
      <c r="B42" s="84" t="s">
        <v>434</v>
      </c>
    </row>
    <row r="43" spans="2:17" ht="37.9" customHeight="1">
      <c r="B43" s="338" t="s">
        <v>435</v>
      </c>
      <c r="C43" s="338"/>
      <c r="D43" s="338"/>
      <c r="E43" s="338"/>
      <c r="F43" s="338"/>
      <c r="G43" s="338"/>
      <c r="H43" s="338"/>
      <c r="I43" s="338"/>
      <c r="J43" s="338"/>
      <c r="K43" s="338"/>
      <c r="L43" s="338"/>
      <c r="M43" s="338"/>
      <c r="N43" s="338"/>
      <c r="O43" s="338"/>
      <c r="P43" s="338"/>
      <c r="Q43" s="338"/>
    </row>
    <row r="44" spans="2:17" ht="37.9" customHeight="1">
      <c r="B44" s="338" t="s">
        <v>436</v>
      </c>
      <c r="C44" s="338"/>
      <c r="D44" s="338"/>
      <c r="E44" s="338"/>
      <c r="F44" s="338"/>
      <c r="G44" s="338"/>
      <c r="H44" s="338"/>
      <c r="I44" s="338"/>
      <c r="J44" s="338"/>
      <c r="K44" s="338"/>
      <c r="L44" s="338"/>
      <c r="M44" s="338"/>
      <c r="N44" s="338"/>
      <c r="O44" s="338"/>
      <c r="P44" s="338"/>
      <c r="Q44" s="338"/>
    </row>
    <row r="45" spans="2:17" ht="37.9" customHeight="1">
      <c r="B45" s="338" t="s">
        <v>437</v>
      </c>
      <c r="C45" s="338"/>
      <c r="D45" s="338"/>
      <c r="E45" s="338"/>
      <c r="F45" s="338"/>
      <c r="G45" s="338"/>
      <c r="H45" s="338"/>
      <c r="I45" s="338"/>
      <c r="J45" s="338"/>
      <c r="K45" s="338"/>
      <c r="L45" s="338"/>
      <c r="M45" s="338"/>
      <c r="N45" s="338"/>
      <c r="O45" s="338"/>
      <c r="P45" s="338"/>
      <c r="Q45" s="338"/>
    </row>
    <row r="46" spans="2:17" ht="37.9" customHeight="1">
      <c r="B46" s="338" t="s">
        <v>438</v>
      </c>
      <c r="C46" s="338"/>
      <c r="D46" s="338"/>
      <c r="E46" s="338"/>
      <c r="F46" s="338"/>
      <c r="G46" s="338"/>
      <c r="H46" s="338"/>
      <c r="I46" s="338"/>
      <c r="J46" s="338"/>
      <c r="K46" s="338"/>
      <c r="L46" s="338"/>
      <c r="M46" s="338"/>
      <c r="N46" s="338"/>
      <c r="O46" s="338"/>
      <c r="P46" s="338"/>
      <c r="Q46" s="338"/>
    </row>
    <row r="47" spans="2:17" ht="37.9" customHeight="1">
      <c r="B47" s="338" t="s">
        <v>439</v>
      </c>
      <c r="C47" s="338"/>
      <c r="D47" s="338"/>
      <c r="E47" s="338"/>
      <c r="F47" s="338"/>
      <c r="G47" s="338"/>
      <c r="H47" s="338"/>
      <c r="I47" s="338"/>
      <c r="J47" s="338"/>
      <c r="K47" s="338"/>
      <c r="L47" s="338"/>
      <c r="M47" s="338"/>
      <c r="N47" s="338"/>
      <c r="O47" s="338"/>
      <c r="P47" s="338"/>
      <c r="Q47" s="338"/>
    </row>
    <row r="48" spans="2:17" ht="17.25">
      <c r="B48" s="85"/>
    </row>
    <row r="49" spans="2:17" ht="17.25">
      <c r="B49" s="84" t="s">
        <v>440</v>
      </c>
    </row>
    <row r="50" spans="2:17" ht="36" customHeight="1">
      <c r="B50" s="338" t="s">
        <v>443</v>
      </c>
      <c r="C50" s="338"/>
      <c r="D50" s="338"/>
      <c r="E50" s="338"/>
      <c r="F50" s="338"/>
      <c r="G50" s="338"/>
      <c r="H50" s="338"/>
      <c r="I50" s="338"/>
      <c r="J50" s="338"/>
      <c r="K50" s="338"/>
      <c r="L50" s="338"/>
      <c r="M50" s="338"/>
      <c r="N50" s="338"/>
      <c r="O50" s="338"/>
      <c r="P50" s="338"/>
      <c r="Q50" s="338"/>
    </row>
    <row r="51" spans="2:17" ht="17.25">
      <c r="B51" s="85" t="s">
        <v>624</v>
      </c>
    </row>
    <row r="52" spans="2:17" ht="17.25">
      <c r="B52" s="85" t="s">
        <v>441</v>
      </c>
    </row>
    <row r="53" spans="2:17" ht="17.25">
      <c r="B53" s="85" t="s">
        <v>442</v>
      </c>
    </row>
  </sheetData>
  <mergeCells count="8">
    <mergeCell ref="B47:Q47"/>
    <mergeCell ref="B50:Q50"/>
    <mergeCell ref="B12:Q12"/>
    <mergeCell ref="B15:Q15"/>
    <mergeCell ref="B43:Q43"/>
    <mergeCell ref="B44:Q44"/>
    <mergeCell ref="B45:Q45"/>
    <mergeCell ref="B46:Q46"/>
  </mergeCells>
  <pageMargins left="0.7" right="0.7" top="0.75" bottom="0.75" header="0.3" footer="0.3"/>
  <pageSetup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043E60-B8C3-45D7-9174-49FE0B9517F9}">
  <sheetPr codeName="Sheet1">
    <tabColor rgb="FFFF0000"/>
  </sheetPr>
  <dimension ref="A1:Q29"/>
  <sheetViews>
    <sheetView showGridLines="0" workbookViewId="0"/>
  </sheetViews>
  <sheetFormatPr defaultRowHeight="15"/>
  <sheetData>
    <row r="1" spans="1:17">
      <c r="A1" s="3" t="s">
        <v>448</v>
      </c>
      <c r="B1" s="4"/>
      <c r="C1" s="4"/>
      <c r="D1" s="4"/>
      <c r="E1" s="4"/>
      <c r="F1" s="4"/>
      <c r="G1" s="4"/>
      <c r="H1" s="4"/>
      <c r="I1" s="4"/>
      <c r="J1" s="4"/>
      <c r="K1" s="4"/>
      <c r="L1" s="4"/>
      <c r="M1" s="4"/>
      <c r="N1" s="4"/>
    </row>
    <row r="2" spans="1:17">
      <c r="A2" s="1" t="s">
        <v>512</v>
      </c>
    </row>
    <row r="3" spans="1:17" ht="15.75" thickBot="1">
      <c r="A3" s="5" t="s">
        <v>444</v>
      </c>
      <c r="B3" s="6"/>
      <c r="C3" s="6"/>
      <c r="D3" s="6"/>
      <c r="E3" s="6"/>
      <c r="F3" s="6"/>
      <c r="G3" s="6"/>
      <c r="H3" s="6"/>
      <c r="I3" s="6"/>
      <c r="J3" s="6"/>
      <c r="K3" s="6"/>
      <c r="L3" s="6"/>
      <c r="M3" s="6"/>
      <c r="N3" s="6"/>
      <c r="Q3" s="1"/>
    </row>
    <row r="5" spans="1:17" ht="57" customHeight="1">
      <c r="A5" s="339" t="s">
        <v>514</v>
      </c>
      <c r="B5" s="339"/>
      <c r="C5" s="339"/>
      <c r="D5" s="339"/>
      <c r="E5" s="339"/>
      <c r="F5" s="339"/>
      <c r="G5" s="339"/>
      <c r="H5" s="339"/>
      <c r="I5" s="339"/>
      <c r="J5" s="339"/>
      <c r="K5" s="339"/>
      <c r="L5" s="339"/>
      <c r="M5" s="339"/>
      <c r="N5" s="339"/>
    </row>
    <row r="7" spans="1:17">
      <c r="A7" s="1" t="s">
        <v>533</v>
      </c>
    </row>
    <row r="8" spans="1:17">
      <c r="B8" t="s">
        <v>516</v>
      </c>
    </row>
    <row r="10" spans="1:17">
      <c r="A10" s="1" t="s">
        <v>534</v>
      </c>
    </row>
    <row r="11" spans="1:17" ht="32.1" customHeight="1">
      <c r="B11" s="339" t="s">
        <v>517</v>
      </c>
      <c r="C11" s="339"/>
      <c r="D11" s="339"/>
      <c r="E11" s="339"/>
      <c r="F11" s="339"/>
      <c r="G11" s="339"/>
      <c r="H11" s="339"/>
      <c r="I11" s="339"/>
      <c r="J11" s="339"/>
      <c r="K11" s="339"/>
      <c r="L11" s="339"/>
      <c r="M11" s="339"/>
      <c r="N11" s="339"/>
    </row>
    <row r="13" spans="1:17">
      <c r="A13" s="1" t="s">
        <v>540</v>
      </c>
    </row>
    <row r="14" spans="1:17">
      <c r="A14" s="1"/>
      <c r="B14" t="s">
        <v>541</v>
      </c>
    </row>
    <row r="16" spans="1:17">
      <c r="A16" s="1" t="s">
        <v>535</v>
      </c>
    </row>
    <row r="17" spans="1:14" ht="30.6" customHeight="1">
      <c r="B17" s="339" t="s">
        <v>447</v>
      </c>
      <c r="C17" s="339"/>
      <c r="D17" s="339"/>
      <c r="E17" s="339"/>
      <c r="F17" s="339"/>
      <c r="G17" s="339"/>
      <c r="H17" s="339"/>
      <c r="I17" s="339"/>
      <c r="J17" s="339"/>
      <c r="K17" s="339"/>
      <c r="L17" s="339"/>
      <c r="M17" s="339"/>
      <c r="N17" s="339"/>
    </row>
    <row r="19" spans="1:14">
      <c r="A19" s="1" t="s">
        <v>536</v>
      </c>
    </row>
    <row r="20" spans="1:14" ht="27.6" customHeight="1">
      <c r="B20" s="339" t="s">
        <v>625</v>
      </c>
      <c r="C20" s="339"/>
      <c r="D20" s="339"/>
      <c r="E20" s="339"/>
      <c r="F20" s="339"/>
      <c r="G20" s="339"/>
      <c r="H20" s="339"/>
      <c r="I20" s="339"/>
      <c r="J20" s="339"/>
      <c r="K20" s="339"/>
      <c r="L20" s="339"/>
      <c r="M20" s="339"/>
      <c r="N20" s="339"/>
    </row>
    <row r="22" spans="1:14">
      <c r="A22" s="1" t="s">
        <v>537</v>
      </c>
    </row>
    <row r="23" spans="1:14">
      <c r="B23" t="s">
        <v>1</v>
      </c>
    </row>
    <row r="25" spans="1:14">
      <c r="A25" s="1" t="s">
        <v>538</v>
      </c>
    </row>
    <row r="26" spans="1:14">
      <c r="B26" t="s">
        <v>5</v>
      </c>
    </row>
    <row r="28" spans="1:14">
      <c r="A28" s="1" t="s">
        <v>539</v>
      </c>
    </row>
    <row r="29" spans="1:14">
      <c r="B29" t="s">
        <v>6</v>
      </c>
    </row>
  </sheetData>
  <mergeCells count="4">
    <mergeCell ref="B17:N17"/>
    <mergeCell ref="A5:N5"/>
    <mergeCell ref="B11:N11"/>
    <mergeCell ref="B20:N20"/>
  </mergeCells>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D1866F-1A4C-4F01-B097-745EE335F6A4}">
  <sheetPr codeName="Sheet2">
    <tabColor rgb="FF0070C0"/>
  </sheetPr>
  <dimension ref="A1:N36"/>
  <sheetViews>
    <sheetView showGridLines="0" workbookViewId="0"/>
  </sheetViews>
  <sheetFormatPr defaultRowHeight="15"/>
  <sheetData>
    <row r="1" spans="1:14">
      <c r="A1" s="3" t="s">
        <v>448</v>
      </c>
      <c r="B1" s="4"/>
      <c r="C1" s="4"/>
      <c r="D1" s="4"/>
      <c r="E1" s="4"/>
      <c r="F1" s="4"/>
      <c r="G1" s="4"/>
      <c r="H1" s="4"/>
      <c r="I1" s="4"/>
      <c r="J1" s="4"/>
      <c r="K1" s="4"/>
      <c r="L1" s="4"/>
      <c r="M1" s="4"/>
      <c r="N1" s="4"/>
    </row>
    <row r="2" spans="1:14">
      <c r="A2" s="1" t="s">
        <v>512</v>
      </c>
    </row>
    <row r="3" spans="1:14" ht="15.75" thickBot="1">
      <c r="A3" s="5" t="s">
        <v>515</v>
      </c>
      <c r="B3" s="6"/>
      <c r="C3" s="6"/>
      <c r="D3" s="6"/>
      <c r="E3" s="6"/>
      <c r="F3" s="6"/>
      <c r="G3" s="6"/>
      <c r="H3" s="6"/>
      <c r="I3" s="6"/>
      <c r="J3" s="6"/>
      <c r="K3" s="6"/>
      <c r="L3" s="6"/>
      <c r="M3" s="6"/>
      <c r="N3" s="6"/>
    </row>
    <row r="5" spans="1:14">
      <c r="A5" t="s">
        <v>518</v>
      </c>
    </row>
    <row r="7" spans="1:14">
      <c r="A7" t="s">
        <v>562</v>
      </c>
      <c r="M7" s="290"/>
    </row>
    <row r="9" spans="1:14">
      <c r="A9" t="s">
        <v>519</v>
      </c>
    </row>
    <row r="11" spans="1:14" ht="30" customHeight="1">
      <c r="A11" s="339" t="s">
        <v>548</v>
      </c>
      <c r="B11" s="339"/>
      <c r="C11" s="339"/>
      <c r="D11" s="339"/>
      <c r="E11" s="339"/>
      <c r="F11" s="339"/>
      <c r="G11" s="339"/>
      <c r="H11" s="339"/>
      <c r="I11" s="339"/>
      <c r="J11" s="339"/>
      <c r="K11" s="339"/>
      <c r="L11" s="339"/>
      <c r="M11" s="339"/>
      <c r="N11" s="339"/>
    </row>
    <row r="13" spans="1:14" ht="31.15" customHeight="1">
      <c r="A13" s="339" t="s">
        <v>565</v>
      </c>
      <c r="B13" s="339"/>
      <c r="C13" s="339"/>
      <c r="D13" s="339"/>
      <c r="E13" s="339"/>
      <c r="F13" s="339"/>
      <c r="G13" s="339"/>
      <c r="H13" s="339"/>
      <c r="I13" s="339"/>
      <c r="J13" s="339"/>
      <c r="K13" s="339"/>
      <c r="L13" s="339"/>
      <c r="M13" s="339"/>
      <c r="N13" s="339"/>
    </row>
    <row r="14" spans="1:14">
      <c r="A14" t="s">
        <v>575</v>
      </c>
    </row>
    <row r="15" spans="1:14">
      <c r="A15" t="s">
        <v>583</v>
      </c>
    </row>
    <row r="17" spans="1:14">
      <c r="A17" s="1" t="s">
        <v>446</v>
      </c>
    </row>
    <row r="18" spans="1:14" ht="28.35" customHeight="1">
      <c r="A18" s="339" t="s">
        <v>520</v>
      </c>
      <c r="B18" s="339"/>
      <c r="C18" s="339"/>
      <c r="D18" s="339"/>
      <c r="E18" s="339"/>
      <c r="F18" s="339"/>
      <c r="G18" s="339"/>
      <c r="H18" s="339"/>
      <c r="I18" s="339"/>
      <c r="J18" s="339"/>
      <c r="K18" s="339"/>
      <c r="L18" s="339"/>
      <c r="M18" s="339"/>
      <c r="N18" s="339"/>
    </row>
    <row r="19" spans="1:14">
      <c r="A19" t="s">
        <v>11</v>
      </c>
    </row>
    <row r="20" spans="1:14">
      <c r="A20" t="s">
        <v>542</v>
      </c>
    </row>
    <row r="22" spans="1:14">
      <c r="A22" s="1" t="s">
        <v>3</v>
      </c>
    </row>
    <row r="23" spans="1:14">
      <c r="A23" t="s">
        <v>12</v>
      </c>
    </row>
    <row r="24" spans="1:14">
      <c r="A24" t="s">
        <v>13</v>
      </c>
    </row>
    <row r="25" spans="1:14">
      <c r="A25" t="s">
        <v>14</v>
      </c>
    </row>
    <row r="27" spans="1:14">
      <c r="A27" s="1" t="s">
        <v>0</v>
      </c>
    </row>
    <row r="28" spans="1:14">
      <c r="A28" t="s">
        <v>7</v>
      </c>
    </row>
    <row r="29" spans="1:14">
      <c r="A29" t="s">
        <v>8</v>
      </c>
    </row>
    <row r="30" spans="1:14">
      <c r="A30" t="s">
        <v>9</v>
      </c>
    </row>
    <row r="31" spans="1:14">
      <c r="A31" t="s">
        <v>10</v>
      </c>
    </row>
    <row r="33" spans="1:1">
      <c r="A33" s="1" t="s">
        <v>4</v>
      </c>
    </row>
    <row r="34" spans="1:1">
      <c r="A34" t="s">
        <v>12</v>
      </c>
    </row>
    <row r="35" spans="1:1">
      <c r="A35" t="s">
        <v>15</v>
      </c>
    </row>
    <row r="36" spans="1:1">
      <c r="A36" t="s">
        <v>14</v>
      </c>
    </row>
  </sheetData>
  <mergeCells count="3">
    <mergeCell ref="A11:N11"/>
    <mergeCell ref="A18:N18"/>
    <mergeCell ref="A13:N13"/>
  </mergeCells>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522EF-15AF-4D20-866F-D7C089A89C4C}">
  <sheetPr codeName="Sheet3">
    <tabColor rgb="FF0070C0"/>
  </sheetPr>
  <dimension ref="A1:O153"/>
  <sheetViews>
    <sheetView showGridLines="0" workbookViewId="0">
      <selection activeCell="A8" sqref="A8"/>
    </sheetView>
  </sheetViews>
  <sheetFormatPr defaultRowHeight="15"/>
  <cols>
    <col min="1" max="1" width="37.42578125" bestFit="1" customWidth="1"/>
    <col min="2" max="2" width="17.42578125" bestFit="1" customWidth="1"/>
    <col min="3" max="3" width="18.5703125" bestFit="1" customWidth="1"/>
    <col min="4" max="4" width="18.42578125" bestFit="1" customWidth="1"/>
    <col min="5" max="5" width="17.42578125" bestFit="1" customWidth="1"/>
    <col min="6" max="6" width="17.42578125" customWidth="1"/>
    <col min="7" max="7" width="16.5703125" bestFit="1" customWidth="1"/>
    <col min="8" max="8" width="13.5703125" bestFit="1" customWidth="1"/>
    <col min="9" max="9" width="12.42578125" bestFit="1" customWidth="1"/>
    <col min="10" max="10" width="20.42578125" customWidth="1"/>
    <col min="11" max="11" width="17.85546875" bestFit="1" customWidth="1"/>
    <col min="12" max="12" width="20.140625" bestFit="1" customWidth="1"/>
    <col min="13" max="13" width="13.28515625" bestFit="1" customWidth="1"/>
  </cols>
  <sheetData>
    <row r="1" spans="1:15">
      <c r="A1" s="3" t="s">
        <v>448</v>
      </c>
      <c r="B1" s="4"/>
      <c r="E1" s="4"/>
      <c r="F1" s="4"/>
      <c r="G1" s="4"/>
      <c r="H1" s="4"/>
      <c r="I1" s="4"/>
      <c r="J1" s="4"/>
      <c r="K1" s="4"/>
      <c r="L1" s="4"/>
      <c r="M1" s="4"/>
      <c r="N1" s="4"/>
      <c r="O1" s="4"/>
    </row>
    <row r="2" spans="1:15">
      <c r="A2" s="1" t="s">
        <v>512</v>
      </c>
    </row>
    <row r="3" spans="1:15" ht="15.75" thickBot="1">
      <c r="A3" s="5" t="s">
        <v>558</v>
      </c>
      <c r="B3" s="6"/>
      <c r="C3" s="6"/>
      <c r="D3" s="6"/>
      <c r="E3" s="6"/>
      <c r="F3" s="6"/>
      <c r="G3" s="6"/>
      <c r="H3" s="6"/>
      <c r="I3" s="6"/>
      <c r="J3" s="6"/>
      <c r="K3" s="6"/>
      <c r="L3" s="6"/>
      <c r="M3" s="6"/>
      <c r="N3" s="6"/>
      <c r="O3" s="6"/>
    </row>
    <row r="4" spans="1:15">
      <c r="A4" s="4"/>
      <c r="B4" s="4"/>
    </row>
    <row r="6" spans="1:15">
      <c r="A6" s="1" t="s">
        <v>445</v>
      </c>
      <c r="B6" s="14"/>
    </row>
    <row r="8" spans="1:15" ht="15.75" thickBot="1">
      <c r="A8" s="335" t="s">
        <v>18</v>
      </c>
      <c r="B8" s="340" t="s">
        <v>19</v>
      </c>
      <c r="C8" s="341"/>
      <c r="D8" s="341"/>
      <c r="E8" s="341"/>
      <c r="F8" s="341"/>
      <c r="G8" s="341"/>
    </row>
    <row r="9" spans="1:15" ht="15.75" thickBot="1">
      <c r="A9" s="326"/>
      <c r="B9" s="327" t="s">
        <v>586</v>
      </c>
      <c r="C9" s="327" t="s">
        <v>587</v>
      </c>
      <c r="D9" s="327" t="s">
        <v>588</v>
      </c>
      <c r="E9" s="327" t="s">
        <v>589</v>
      </c>
      <c r="F9" s="327" t="s">
        <v>590</v>
      </c>
      <c r="G9" s="327" t="s">
        <v>591</v>
      </c>
    </row>
    <row r="10" spans="1:15" ht="15.75" thickBot="1">
      <c r="A10" s="111" t="s">
        <v>20</v>
      </c>
      <c r="B10" s="113">
        <v>4.0000000000000001E-3</v>
      </c>
      <c r="C10" s="113">
        <v>1.2999999999999999E-2</v>
      </c>
      <c r="D10" s="113">
        <v>4.5999999999999999E-2</v>
      </c>
      <c r="E10" s="113">
        <v>0.1</v>
      </c>
      <c r="F10" s="113">
        <v>0.23</v>
      </c>
      <c r="G10" s="113">
        <v>0.3</v>
      </c>
      <c r="H10" s="144" t="s">
        <v>21</v>
      </c>
    </row>
    <row r="12" spans="1:15" ht="15.75" thickBot="1">
      <c r="A12" s="326"/>
      <c r="B12" s="327" t="s">
        <v>592</v>
      </c>
      <c r="C12" s="327" t="s">
        <v>593</v>
      </c>
      <c r="D12" s="327" t="s">
        <v>594</v>
      </c>
      <c r="E12" s="327" t="s">
        <v>595</v>
      </c>
      <c r="F12" s="327" t="s">
        <v>596</v>
      </c>
    </row>
    <row r="13" spans="1:15" ht="15.75" thickBot="1">
      <c r="A13" s="111" t="s">
        <v>22</v>
      </c>
      <c r="B13" s="116">
        <v>8.9999999999999993E-3</v>
      </c>
      <c r="C13" s="116">
        <v>1.7500000000000002E-2</v>
      </c>
      <c r="D13" s="116">
        <v>0.03</v>
      </c>
      <c r="E13" s="116">
        <v>0.05</v>
      </c>
      <c r="F13" s="116">
        <v>7.4999999999999997E-2</v>
      </c>
      <c r="H13" s="144" t="s">
        <v>23</v>
      </c>
    </row>
    <row r="15" spans="1:15" ht="15.75" thickBot="1">
      <c r="A15" s="112" t="s">
        <v>18</v>
      </c>
      <c r="B15" s="118" t="s">
        <v>19</v>
      </c>
    </row>
    <row r="16" spans="1:15" ht="15.75" thickBot="1">
      <c r="A16" s="111" t="s">
        <v>24</v>
      </c>
      <c r="B16" s="113">
        <v>0.15</v>
      </c>
    </row>
    <row r="17" spans="1:3" ht="15.75" thickBot="1">
      <c r="A17" s="114" t="s">
        <v>25</v>
      </c>
      <c r="B17" s="115">
        <v>0.35</v>
      </c>
    </row>
    <row r="19" spans="1:3" s="1" customFormat="1">
      <c r="A19" s="1" t="s">
        <v>26</v>
      </c>
    </row>
    <row r="20" spans="1:3" s="1" customFormat="1" ht="15.75" thickBot="1">
      <c r="A20" s="112" t="s">
        <v>27</v>
      </c>
      <c r="B20" s="112" t="s">
        <v>28</v>
      </c>
      <c r="C20" s="51" t="s">
        <v>29</v>
      </c>
    </row>
    <row r="21" spans="1:3" ht="15.75" thickBot="1">
      <c r="A21" s="111" t="s">
        <v>30</v>
      </c>
      <c r="B21" s="102" t="s">
        <v>31</v>
      </c>
      <c r="C21" s="116">
        <v>7.6999999999999999E-2</v>
      </c>
    </row>
    <row r="22" spans="1:3" ht="15.75" thickBot="1">
      <c r="A22" s="114" t="s">
        <v>32</v>
      </c>
      <c r="B22" s="103" t="s">
        <v>33</v>
      </c>
      <c r="C22" s="117">
        <v>1.54E-2</v>
      </c>
    </row>
    <row r="23" spans="1:3">
      <c r="A23" s="1" t="s">
        <v>34</v>
      </c>
      <c r="B23" s="1"/>
    </row>
    <row r="25" spans="1:3">
      <c r="A25" s="1" t="s">
        <v>35</v>
      </c>
      <c r="B25" s="1"/>
      <c r="C25" s="1"/>
    </row>
    <row r="26" spans="1:3" ht="15.75" thickBot="1">
      <c r="A26" s="51" t="s">
        <v>36</v>
      </c>
      <c r="B26" s="118" t="s">
        <v>37</v>
      </c>
      <c r="C26" s="118" t="s">
        <v>38</v>
      </c>
    </row>
    <row r="27" spans="1:3" ht="15.75" thickBot="1">
      <c r="A27" s="119">
        <v>500000000</v>
      </c>
      <c r="B27" s="116">
        <v>2.3E-3</v>
      </c>
      <c r="C27" s="119">
        <f>A27*B27</f>
        <v>1150000</v>
      </c>
    </row>
    <row r="28" spans="1:3" ht="15.75" thickBot="1">
      <c r="A28" s="120">
        <v>5000000000</v>
      </c>
      <c r="B28" s="117">
        <v>1.5E-3</v>
      </c>
      <c r="C28" s="120">
        <f>(A28-A27)*B28</f>
        <v>6750000</v>
      </c>
    </row>
    <row r="29" spans="1:3" ht="15.75" thickBot="1">
      <c r="A29" s="119">
        <v>25000000000</v>
      </c>
      <c r="B29" s="116">
        <v>1.1999999999999999E-3</v>
      </c>
      <c r="C29" s="119">
        <f>(A29-A28)*B29</f>
        <v>23999999.999999996</v>
      </c>
    </row>
    <row r="30" spans="1:3" ht="15.75" thickBot="1">
      <c r="A30" s="121" t="s">
        <v>39</v>
      </c>
      <c r="B30" s="117">
        <v>8.9999999999999998E-4</v>
      </c>
      <c r="C30" s="120"/>
    </row>
    <row r="32" spans="1:3">
      <c r="A32" s="1" t="s">
        <v>40</v>
      </c>
      <c r="B32" s="291">
        <v>0</v>
      </c>
      <c r="C32" s="144" t="s">
        <v>570</v>
      </c>
    </row>
    <row r="33" spans="1:3">
      <c r="A33" s="1" t="s">
        <v>41</v>
      </c>
    </row>
    <row r="34" spans="1:3" ht="15.75" thickBot="1">
      <c r="A34" s="51"/>
      <c r="B34" s="118" t="s">
        <v>37</v>
      </c>
    </row>
    <row r="35" spans="1:3" ht="15.75" thickBot="1">
      <c r="A35" s="119" t="s">
        <v>42</v>
      </c>
      <c r="B35" s="116">
        <v>3.0800000000000001E-2</v>
      </c>
    </row>
    <row r="36" spans="1:3" ht="15.75" thickBot="1">
      <c r="A36" s="120" t="s">
        <v>43</v>
      </c>
      <c r="B36" s="117">
        <v>7.7000000000000002E-3</v>
      </c>
    </row>
    <row r="37" spans="1:3" ht="15.75" thickBot="1">
      <c r="A37" s="119" t="s">
        <v>44</v>
      </c>
      <c r="B37" s="116">
        <v>8.0000000000000004E-4</v>
      </c>
    </row>
    <row r="38" spans="1:3" ht="14.85" customHeight="1"/>
    <row r="39" spans="1:3" ht="14.85" customHeight="1">
      <c r="A39" s="122" t="s">
        <v>45</v>
      </c>
      <c r="B39" s="314">
        <v>0.21</v>
      </c>
      <c r="C39" s="325" t="s">
        <v>566</v>
      </c>
    </row>
    <row r="40" spans="1:3">
      <c r="A40" s="122" t="s">
        <v>46</v>
      </c>
      <c r="B40" s="123">
        <v>0.5</v>
      </c>
    </row>
    <row r="41" spans="1:3">
      <c r="B41" s="2"/>
    </row>
    <row r="153" spans="8:10">
      <c r="H153" s="236"/>
      <c r="I153" s="20"/>
      <c r="J153" s="144"/>
    </row>
  </sheetData>
  <mergeCells count="1">
    <mergeCell ref="B8:G8"/>
  </mergeCells>
  <phoneticPr fontId="18" type="noConversion"/>
  <pageMargins left="0.7" right="0.7" top="0.75" bottom="0.75" header="0.3" footer="0.3"/>
  <pageSetup orientation="portrait" verticalDpi="9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58161-0EF6-44B6-A80A-EA3AA018F894}">
  <sheetPr codeName="Sheet13">
    <tabColor rgb="FF0070C0"/>
  </sheetPr>
  <dimension ref="A1:O83"/>
  <sheetViews>
    <sheetView showGridLines="0" workbookViewId="0"/>
  </sheetViews>
  <sheetFormatPr defaultRowHeight="15"/>
  <cols>
    <col min="1" max="1" width="37.42578125" bestFit="1" customWidth="1"/>
    <col min="2" max="2" width="17.42578125" bestFit="1" customWidth="1"/>
    <col min="3" max="3" width="18.5703125" bestFit="1" customWidth="1"/>
    <col min="4" max="4" width="18.42578125" bestFit="1" customWidth="1"/>
    <col min="5" max="5" width="17.42578125" bestFit="1" customWidth="1"/>
    <col min="6" max="6" width="17.42578125" customWidth="1"/>
    <col min="7" max="7" width="16.5703125" bestFit="1" customWidth="1"/>
    <col min="8" max="8" width="13.5703125" bestFit="1" customWidth="1"/>
    <col min="9" max="9" width="12.42578125" bestFit="1" customWidth="1"/>
    <col min="10" max="10" width="20.42578125" customWidth="1"/>
    <col min="11" max="11" width="17.85546875" bestFit="1" customWidth="1"/>
    <col min="12" max="12" width="20.140625" bestFit="1" customWidth="1"/>
    <col min="13" max="13" width="13.28515625" bestFit="1" customWidth="1"/>
  </cols>
  <sheetData>
    <row r="1" spans="1:15">
      <c r="A1" s="3" t="s">
        <v>448</v>
      </c>
      <c r="B1" s="4"/>
      <c r="E1" s="4"/>
      <c r="F1" s="4"/>
      <c r="G1" s="4"/>
      <c r="H1" s="4"/>
      <c r="I1" s="4"/>
      <c r="J1" s="4"/>
      <c r="K1" s="4"/>
      <c r="L1" s="4"/>
      <c r="M1" s="4"/>
      <c r="N1" s="4"/>
      <c r="O1" s="4"/>
    </row>
    <row r="2" spans="1:15">
      <c r="A2" s="1" t="s">
        <v>512</v>
      </c>
    </row>
    <row r="3" spans="1:15" ht="15.75" thickBot="1">
      <c r="A3" s="5" t="s">
        <v>561</v>
      </c>
      <c r="B3" s="6"/>
      <c r="C3" s="6"/>
      <c r="D3" s="6"/>
      <c r="E3" s="6"/>
      <c r="F3" s="6"/>
      <c r="G3" s="6"/>
      <c r="H3" s="6"/>
      <c r="I3" s="6"/>
      <c r="J3" s="6"/>
      <c r="K3" s="6"/>
      <c r="L3" s="6"/>
      <c r="M3" s="6"/>
      <c r="N3" s="6"/>
      <c r="O3" s="6"/>
    </row>
    <row r="4" spans="1:15">
      <c r="A4" s="4"/>
      <c r="B4" s="4"/>
    </row>
    <row r="6" spans="1:15">
      <c r="A6" s="144" t="s">
        <v>83</v>
      </c>
      <c r="B6" s="176">
        <v>0.7</v>
      </c>
    </row>
    <row r="7" spans="1:15">
      <c r="A7" s="144" t="s">
        <v>84</v>
      </c>
      <c r="B7" s="144">
        <v>1</v>
      </c>
    </row>
    <row r="8" spans="1:15">
      <c r="A8" s="144" t="s">
        <v>85</v>
      </c>
      <c r="B8" s="177">
        <v>5000000</v>
      </c>
    </row>
    <row r="9" spans="1:15" ht="15.75" thickBot="1"/>
    <row r="10" spans="1:15" ht="15.75" thickBot="1">
      <c r="A10" s="105"/>
      <c r="B10" s="104" t="s">
        <v>86</v>
      </c>
      <c r="C10" s="104" t="s">
        <v>87</v>
      </c>
      <c r="D10" s="104" t="s">
        <v>88</v>
      </c>
    </row>
    <row r="11" spans="1:15" ht="15.75" thickBot="1">
      <c r="A11" s="136" t="s">
        <v>89</v>
      </c>
      <c r="B11" s="308">
        <v>2500000</v>
      </c>
      <c r="C11" s="308">
        <f>B11</f>
        <v>2500000</v>
      </c>
      <c r="D11" s="308">
        <v>1000000</v>
      </c>
    </row>
    <row r="12" spans="1:15" ht="15.75" thickBot="1">
      <c r="A12" s="137" t="s">
        <v>90</v>
      </c>
      <c r="B12" s="308">
        <v>25000</v>
      </c>
      <c r="C12" s="308">
        <f>B12</f>
        <v>25000</v>
      </c>
      <c r="D12" s="308">
        <v>75000</v>
      </c>
    </row>
    <row r="13" spans="1:15" ht="15.75" thickBot="1">
      <c r="A13" s="136" t="s">
        <v>91</v>
      </c>
      <c r="B13" s="307">
        <v>10000</v>
      </c>
      <c r="C13" s="307">
        <f>B13</f>
        <v>10000</v>
      </c>
      <c r="D13" s="307">
        <v>7500</v>
      </c>
      <c r="E13" s="144" t="s">
        <v>567</v>
      </c>
    </row>
    <row r="14" spans="1:15" ht="15.75" thickBot="1">
      <c r="A14" s="137" t="s">
        <v>92</v>
      </c>
      <c r="B14" s="308">
        <v>10000</v>
      </c>
      <c r="C14" s="308">
        <f>B14</f>
        <v>10000</v>
      </c>
      <c r="D14" s="308">
        <f>C14</f>
        <v>10000</v>
      </c>
      <c r="E14" s="144" t="s">
        <v>567</v>
      </c>
    </row>
    <row r="15" spans="1:15" ht="15.75" thickBot="1">
      <c r="A15" s="136" t="s">
        <v>340</v>
      </c>
      <c r="B15" s="308">
        <v>0</v>
      </c>
      <c r="C15" s="308">
        <f>B15*1.5</f>
        <v>0</v>
      </c>
      <c r="D15" s="308">
        <f>B15*3/4</f>
        <v>0</v>
      </c>
      <c r="E15" s="144" t="s">
        <v>567</v>
      </c>
    </row>
    <row r="16" spans="1:15" ht="24.75" thickBot="1">
      <c r="A16" s="137" t="s">
        <v>617</v>
      </c>
      <c r="B16" s="308">
        <v>0</v>
      </c>
      <c r="C16" s="308">
        <v>0</v>
      </c>
      <c r="D16" s="308">
        <v>0</v>
      </c>
      <c r="E16" s="144" t="s">
        <v>567</v>
      </c>
    </row>
    <row r="17" spans="1:7" ht="15.75" thickBot="1">
      <c r="A17" s="136" t="s">
        <v>93</v>
      </c>
      <c r="B17" s="308">
        <v>120000</v>
      </c>
      <c r="C17" s="308">
        <f>B17*1.5</f>
        <v>180000</v>
      </c>
      <c r="D17" s="308">
        <f>B17*3/4</f>
        <v>90000</v>
      </c>
      <c r="E17" s="144" t="s">
        <v>567</v>
      </c>
    </row>
    <row r="18" spans="1:7" ht="15.75" thickBot="1">
      <c r="A18" s="137" t="s">
        <v>618</v>
      </c>
      <c r="B18" s="308">
        <v>1000000</v>
      </c>
      <c r="C18" s="308">
        <v>1200000</v>
      </c>
      <c r="D18" s="308">
        <f>C18</f>
        <v>1200000</v>
      </c>
      <c r="E18" s="144" t="s">
        <v>567</v>
      </c>
    </row>
    <row r="19" spans="1:7" ht="15.75" thickBot="1">
      <c r="A19" s="136" t="s">
        <v>94</v>
      </c>
      <c r="B19" s="130">
        <v>0.02</v>
      </c>
      <c r="C19" s="130">
        <v>0.02</v>
      </c>
      <c r="D19" s="130">
        <v>0.02</v>
      </c>
    </row>
    <row r="20" spans="1:7" ht="15.75" thickBot="1">
      <c r="A20" s="173" t="s">
        <v>95</v>
      </c>
      <c r="B20" s="181">
        <v>5.0000000000000001E-3</v>
      </c>
      <c r="C20" s="181">
        <v>5.0000000000000001E-3</v>
      </c>
      <c r="D20" s="181">
        <v>5.0000000000000001E-3</v>
      </c>
    </row>
    <row r="21" spans="1:7">
      <c r="B21" s="7"/>
      <c r="C21" s="7"/>
    </row>
    <row r="22" spans="1:7">
      <c r="A22" s="153" t="s">
        <v>96</v>
      </c>
    </row>
    <row r="23" spans="1:7" ht="15" customHeight="1" thickBot="1">
      <c r="A23" s="335" t="s">
        <v>97</v>
      </c>
      <c r="B23" s="342" t="s">
        <v>98</v>
      </c>
      <c r="C23" s="343"/>
      <c r="D23" s="343"/>
      <c r="E23" s="343"/>
      <c r="F23" s="343"/>
      <c r="G23" s="343"/>
    </row>
    <row r="24" spans="1:7" ht="15.75" thickBot="1">
      <c r="A24" s="105"/>
      <c r="B24" s="104">
        <v>1</v>
      </c>
      <c r="C24" s="104">
        <v>2</v>
      </c>
      <c r="D24" s="104">
        <v>3</v>
      </c>
      <c r="E24" s="104">
        <v>4</v>
      </c>
      <c r="F24" s="104">
        <v>5</v>
      </c>
      <c r="G24" s="104">
        <v>10</v>
      </c>
    </row>
    <row r="25" spans="1:7" ht="15.75" thickBot="1">
      <c r="A25" s="136" t="s">
        <v>99</v>
      </c>
      <c r="B25" s="131">
        <v>2.5000000000000001E-3</v>
      </c>
      <c r="C25" s="131">
        <v>2.5000000000000001E-3</v>
      </c>
      <c r="D25" s="131">
        <v>5.0000000000000001E-3</v>
      </c>
      <c r="E25" s="131">
        <v>5.0000000000000001E-3</v>
      </c>
      <c r="F25" s="131">
        <v>0.01</v>
      </c>
      <c r="G25" s="131">
        <v>1.2500000000000001E-2</v>
      </c>
    </row>
    <row r="26" spans="1:7" ht="15.75" thickBot="1">
      <c r="A26" s="137" t="s">
        <v>100</v>
      </c>
      <c r="B26" s="182">
        <v>2.5000000000000001E-3</v>
      </c>
      <c r="C26" s="182">
        <v>5.0000000000000001E-3</v>
      </c>
      <c r="D26" s="182">
        <v>7.4999999999999997E-3</v>
      </c>
      <c r="E26" s="182">
        <v>0.01</v>
      </c>
      <c r="F26" s="182">
        <v>1.2500000000000001E-2</v>
      </c>
      <c r="G26" s="182">
        <v>1.7500000000000002E-2</v>
      </c>
    </row>
    <row r="27" spans="1:7" ht="15.75" thickBot="1">
      <c r="A27" s="183" t="s">
        <v>66</v>
      </c>
      <c r="B27" s="184">
        <v>7.4999999999999997E-3</v>
      </c>
      <c r="C27" s="184">
        <v>0.01</v>
      </c>
      <c r="D27" s="184">
        <v>1.4999999999999999E-2</v>
      </c>
      <c r="E27" s="184">
        <v>1.7500000000000002E-2</v>
      </c>
      <c r="F27" s="184">
        <v>0.02</v>
      </c>
      <c r="G27" s="184">
        <v>0.03</v>
      </c>
    </row>
    <row r="28" spans="1:7" ht="15.75" thickBot="1">
      <c r="A28" s="137" t="s">
        <v>101</v>
      </c>
      <c r="B28" s="182">
        <v>1.4999999999999999E-2</v>
      </c>
      <c r="C28" s="182">
        <v>2.75E-2</v>
      </c>
      <c r="D28" s="182">
        <v>3.2500000000000001E-2</v>
      </c>
      <c r="E28" s="182">
        <v>3.7499999999999999E-2</v>
      </c>
      <c r="F28" s="182">
        <v>0.04</v>
      </c>
      <c r="G28" s="182">
        <v>4.7500000000000001E-2</v>
      </c>
    </row>
    <row r="29" spans="1:7" ht="15.75" thickBot="1">
      <c r="A29" s="136" t="s">
        <v>102</v>
      </c>
      <c r="B29" s="131">
        <v>3.7499999999999999E-2</v>
      </c>
      <c r="C29" s="131">
        <v>0.06</v>
      </c>
      <c r="D29" s="131">
        <v>7.2499999999999995E-2</v>
      </c>
      <c r="E29" s="131">
        <v>7.7499999999999999E-2</v>
      </c>
      <c r="F29" s="131">
        <v>0.08</v>
      </c>
      <c r="G29" s="131">
        <v>0.08</v>
      </c>
    </row>
    <row r="30" spans="1:7" ht="15.75" thickBot="1">
      <c r="A30" s="137" t="s">
        <v>103</v>
      </c>
      <c r="B30" s="182">
        <v>7.4999999999999997E-2</v>
      </c>
      <c r="C30" s="182">
        <v>0.1</v>
      </c>
      <c r="D30" s="182">
        <v>0.105</v>
      </c>
      <c r="E30" s="182">
        <v>0.105</v>
      </c>
      <c r="F30" s="182">
        <v>0.105</v>
      </c>
      <c r="G30" s="182">
        <v>0.105</v>
      </c>
    </row>
    <row r="31" spans="1:7" ht="15.75" thickBot="1">
      <c r="A31" s="185" t="s">
        <v>104</v>
      </c>
      <c r="B31" s="186">
        <v>0.155</v>
      </c>
      <c r="C31" s="186">
        <v>0.18</v>
      </c>
      <c r="D31" s="186">
        <v>0.18</v>
      </c>
      <c r="E31" s="186">
        <v>0.18</v>
      </c>
      <c r="F31" s="186">
        <v>0.18</v>
      </c>
      <c r="G31" s="186">
        <v>0.18</v>
      </c>
    </row>
    <row r="32" spans="1:7">
      <c r="B32" s="23"/>
      <c r="C32" s="23"/>
      <c r="D32" s="23"/>
      <c r="E32" s="23"/>
      <c r="F32" s="23"/>
      <c r="G32" s="23"/>
    </row>
    <row r="33" spans="1:2">
      <c r="A33" s="144" t="s">
        <v>105</v>
      </c>
      <c r="B33" s="144"/>
    </row>
    <row r="34" spans="1:2">
      <c r="A34" s="187" t="s">
        <v>106</v>
      </c>
      <c r="B34" s="144"/>
    </row>
    <row r="35" spans="1:2">
      <c r="A35" s="187" t="s">
        <v>107</v>
      </c>
      <c r="B35" s="176">
        <v>0.35</v>
      </c>
    </row>
    <row r="36" spans="1:2">
      <c r="A36" s="187" t="s">
        <v>108</v>
      </c>
      <c r="B36" s="176">
        <v>0.4</v>
      </c>
    </row>
    <row r="37" spans="1:2">
      <c r="A37" s="187" t="s">
        <v>109</v>
      </c>
      <c r="B37" s="176">
        <v>0.45</v>
      </c>
    </row>
    <row r="38" spans="1:2">
      <c r="A38" s="187" t="s">
        <v>110</v>
      </c>
      <c r="B38" s="176">
        <v>0.5</v>
      </c>
    </row>
    <row r="39" spans="1:2">
      <c r="A39" s="144"/>
      <c r="B39" s="144"/>
    </row>
    <row r="40" spans="1:2" ht="24.75">
      <c r="A40" s="187" t="s">
        <v>111</v>
      </c>
      <c r="B40" s="176">
        <v>0.3</v>
      </c>
    </row>
    <row r="42" spans="1:2">
      <c r="A42" s="1" t="s">
        <v>112</v>
      </c>
    </row>
    <row r="44" spans="1:2" ht="15.75" thickBot="1">
      <c r="A44" t="s">
        <v>113</v>
      </c>
    </row>
    <row r="45" spans="1:2" ht="15.75" thickBot="1">
      <c r="A45" s="105" t="s">
        <v>114</v>
      </c>
      <c r="B45" s="104" t="s">
        <v>37</v>
      </c>
    </row>
    <row r="46" spans="1:2" ht="15.75" thickBot="1">
      <c r="A46" s="136" t="s">
        <v>115</v>
      </c>
      <c r="B46" s="131">
        <v>2.5000000000000001E-2</v>
      </c>
    </row>
    <row r="47" spans="1:2" ht="15.75" thickBot="1">
      <c r="A47" s="137" t="s">
        <v>116</v>
      </c>
      <c r="B47" s="182">
        <v>1.7500000000000002E-2</v>
      </c>
    </row>
    <row r="48" spans="1:2" ht="15.75" thickBot="1">
      <c r="A48" s="136" t="s">
        <v>117</v>
      </c>
      <c r="B48" s="131"/>
    </row>
    <row r="49" spans="1:8" ht="24.75" thickBot="1">
      <c r="A49" s="137" t="s">
        <v>118</v>
      </c>
      <c r="B49" s="182">
        <v>4.0000000000000001E-3</v>
      </c>
    </row>
    <row r="50" spans="1:8" ht="36.75" thickBot="1">
      <c r="A50" s="136" t="s">
        <v>119</v>
      </c>
      <c r="B50" s="131">
        <v>1.5E-3</v>
      </c>
    </row>
    <row r="51" spans="1:8" ht="15.75" thickBot="1">
      <c r="A51" s="137" t="s">
        <v>120</v>
      </c>
      <c r="B51" s="182">
        <v>1E-3</v>
      </c>
    </row>
    <row r="52" spans="1:8" ht="48.75" thickBot="1">
      <c r="A52" s="168" t="s">
        <v>121</v>
      </c>
      <c r="B52" s="188">
        <v>1E-3</v>
      </c>
    </row>
    <row r="53" spans="1:8" ht="15.75" thickBot="1"/>
    <row r="54" spans="1:8" ht="15.75" thickBot="1">
      <c r="A54" s="105" t="s">
        <v>122</v>
      </c>
      <c r="B54" s="104"/>
    </row>
    <row r="55" spans="1:8" ht="24.75" thickBot="1">
      <c r="A55" s="136" t="s">
        <v>123</v>
      </c>
      <c r="B55" s="131">
        <v>5.7500000000000002E-2</v>
      </c>
    </row>
    <row r="56" spans="1:8" ht="15.75" thickBot="1">
      <c r="A56" s="137" t="s">
        <v>124</v>
      </c>
      <c r="B56" s="182">
        <v>4.4999999999999998E-2</v>
      </c>
    </row>
    <row r="57" spans="1:8" ht="15.75" thickBot="1">
      <c r="A57" s="168" t="s">
        <v>125</v>
      </c>
      <c r="B57" s="188">
        <v>2.5000000000000001E-2</v>
      </c>
    </row>
    <row r="59" spans="1:8">
      <c r="A59" s="1" t="s">
        <v>614</v>
      </c>
    </row>
    <row r="60" spans="1:8" ht="15" customHeight="1" thickBot="1">
      <c r="B60" s="345" t="s">
        <v>615</v>
      </c>
      <c r="C60" s="346"/>
      <c r="D60" s="346"/>
      <c r="E60" s="346"/>
      <c r="F60" s="346"/>
      <c r="G60" s="346"/>
      <c r="H60" s="346"/>
    </row>
    <row r="61" spans="1:8" ht="24.75" thickBot="1">
      <c r="A61" s="105" t="s">
        <v>616</v>
      </c>
      <c r="B61" s="104" t="s">
        <v>76</v>
      </c>
      <c r="C61" s="105" t="s">
        <v>77</v>
      </c>
      <c r="D61" s="104" t="s">
        <v>597</v>
      </c>
      <c r="E61" s="105" t="s">
        <v>598</v>
      </c>
      <c r="F61" s="104" t="s">
        <v>599</v>
      </c>
      <c r="G61" s="105" t="s">
        <v>600</v>
      </c>
      <c r="H61" s="104" t="s">
        <v>601</v>
      </c>
    </row>
    <row r="62" spans="1:8" ht="15.75" thickBot="1">
      <c r="A62" s="136" t="s">
        <v>76</v>
      </c>
      <c r="B62" s="159">
        <v>1</v>
      </c>
      <c r="C62" s="159"/>
      <c r="D62" s="159"/>
      <c r="E62" s="159"/>
      <c r="F62" s="159"/>
      <c r="G62" s="159"/>
      <c r="H62" s="159"/>
    </row>
    <row r="63" spans="1:8" ht="15.75" thickBot="1">
      <c r="A63" s="137" t="s">
        <v>77</v>
      </c>
      <c r="B63" s="163">
        <v>-0.25</v>
      </c>
      <c r="C63" s="163">
        <v>1</v>
      </c>
      <c r="D63" s="163"/>
      <c r="E63" s="163"/>
      <c r="F63" s="163"/>
      <c r="G63" s="163"/>
      <c r="H63" s="163"/>
    </row>
    <row r="64" spans="1:8" ht="15.75" thickBot="1">
      <c r="A64" s="168" t="s">
        <v>597</v>
      </c>
      <c r="B64" s="161">
        <v>0.5</v>
      </c>
      <c r="C64" s="161">
        <v>-0.25</v>
      </c>
      <c r="D64" s="161">
        <v>1</v>
      </c>
      <c r="E64" s="161"/>
      <c r="F64" s="161"/>
      <c r="G64" s="161"/>
      <c r="H64" s="161"/>
    </row>
    <row r="65" spans="1:8" ht="15.75" thickBot="1">
      <c r="A65" s="137" t="s">
        <v>598</v>
      </c>
      <c r="B65" s="163">
        <v>-0.25</v>
      </c>
      <c r="C65" s="163">
        <v>0.5</v>
      </c>
      <c r="D65" s="163">
        <v>0.25</v>
      </c>
      <c r="E65" s="163">
        <v>1</v>
      </c>
      <c r="F65" s="163"/>
      <c r="G65" s="163"/>
      <c r="H65" s="163"/>
    </row>
    <row r="66" spans="1:8" ht="15.75" thickBot="1">
      <c r="A66" s="136" t="s">
        <v>599</v>
      </c>
      <c r="B66" s="159">
        <v>0.25</v>
      </c>
      <c r="C66" s="159">
        <v>0.25</v>
      </c>
      <c r="D66" s="159">
        <v>0.5</v>
      </c>
      <c r="E66" s="159">
        <v>0.5</v>
      </c>
      <c r="F66" s="159">
        <v>1</v>
      </c>
      <c r="G66" s="159"/>
      <c r="H66" s="159"/>
    </row>
    <row r="67" spans="1:8" ht="15.75" thickBot="1">
      <c r="A67" s="137" t="s">
        <v>600</v>
      </c>
      <c r="B67" s="165">
        <v>0</v>
      </c>
      <c r="C67" s="165">
        <v>-0.25</v>
      </c>
      <c r="D67" s="165">
        <v>0</v>
      </c>
      <c r="E67" s="165">
        <v>-0.25</v>
      </c>
      <c r="F67" s="165">
        <v>-0.5</v>
      </c>
      <c r="G67" s="165">
        <v>1</v>
      </c>
      <c r="H67" s="165"/>
    </row>
    <row r="68" spans="1:8" ht="15.75" thickBot="1">
      <c r="A68" s="168" t="s">
        <v>601</v>
      </c>
      <c r="B68" s="169">
        <v>0.5</v>
      </c>
      <c r="C68" s="169">
        <v>0.25</v>
      </c>
      <c r="D68" s="169">
        <v>0.5</v>
      </c>
      <c r="E68" s="169">
        <v>0.5</v>
      </c>
      <c r="F68" s="169">
        <v>0.5</v>
      </c>
      <c r="G68" s="169">
        <v>-0.25</v>
      </c>
      <c r="H68" s="169">
        <v>1</v>
      </c>
    </row>
    <row r="69" spans="1:8">
      <c r="A69" s="329"/>
      <c r="B69" s="330"/>
      <c r="C69" s="330"/>
      <c r="D69" s="330"/>
      <c r="E69" s="330"/>
      <c r="F69" s="330"/>
      <c r="G69" s="330"/>
      <c r="H69" s="330"/>
    </row>
    <row r="70" spans="1:8">
      <c r="B70" s="344" t="s">
        <v>602</v>
      </c>
    </row>
    <row r="71" spans="1:8" ht="15.75" thickBot="1">
      <c r="B71" s="344"/>
    </row>
    <row r="72" spans="1:8" ht="15.75" thickBot="1">
      <c r="A72" s="24" t="s">
        <v>89</v>
      </c>
      <c r="B72" s="332">
        <v>0.7</v>
      </c>
    </row>
    <row r="73" spans="1:8" ht="15.75" thickBot="1">
      <c r="A73" s="24" t="s">
        <v>90</v>
      </c>
      <c r="B73" s="333">
        <v>1</v>
      </c>
    </row>
    <row r="74" spans="1:8" ht="15.75" thickBot="1">
      <c r="A74" s="24" t="s">
        <v>273</v>
      </c>
      <c r="B74" s="333">
        <v>0</v>
      </c>
    </row>
    <row r="75" spans="1:8" ht="15.75" thickBot="1">
      <c r="A75" s="24" t="s">
        <v>91</v>
      </c>
      <c r="B75" s="333">
        <v>0.4</v>
      </c>
    </row>
    <row r="76" spans="1:8" ht="15.75" thickBot="1">
      <c r="A76" s="24" t="s">
        <v>92</v>
      </c>
      <c r="B76" s="334">
        <v>0</v>
      </c>
    </row>
    <row r="78" spans="1:8">
      <c r="A78" s="1" t="s">
        <v>608</v>
      </c>
    </row>
    <row r="79" spans="1:8">
      <c r="A79" t="s">
        <v>609</v>
      </c>
      <c r="B79" s="328">
        <f>4/5</f>
        <v>0.8</v>
      </c>
    </row>
    <row r="80" spans="1:8">
      <c r="A80" t="s">
        <v>611</v>
      </c>
      <c r="B80" s="328">
        <f>1/10</f>
        <v>0.1</v>
      </c>
    </row>
    <row r="81" spans="1:2">
      <c r="A81" t="s">
        <v>612</v>
      </c>
      <c r="B81" s="328">
        <f>14/60</f>
        <v>0.23333333333333334</v>
      </c>
    </row>
    <row r="82" spans="1:2">
      <c r="A82" t="s">
        <v>610</v>
      </c>
      <c r="B82" s="328">
        <f>7/60</f>
        <v>0.11666666666666667</v>
      </c>
    </row>
    <row r="83" spans="1:2">
      <c r="A83" t="s">
        <v>613</v>
      </c>
      <c r="B83" s="328">
        <f>62/60</f>
        <v>1.0333333333333334</v>
      </c>
    </row>
  </sheetData>
  <mergeCells count="3">
    <mergeCell ref="B23:G23"/>
    <mergeCell ref="B70:B71"/>
    <mergeCell ref="B60:H60"/>
  </mergeCells>
  <pageMargins left="0.7" right="0.7" top="0.75" bottom="0.75" header="0.3" footer="0.3"/>
  <pageSetup orientation="portrait" verticalDpi="9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682CAF-95C9-4351-851B-A3383E4FB3DF}">
  <sheetPr codeName="Sheet14">
    <tabColor rgb="FF0070C0"/>
  </sheetPr>
  <dimension ref="A1:O59"/>
  <sheetViews>
    <sheetView showGridLines="0" workbookViewId="0"/>
  </sheetViews>
  <sheetFormatPr defaultRowHeight="15"/>
  <cols>
    <col min="1" max="1" width="37.42578125" bestFit="1" customWidth="1"/>
    <col min="2" max="2" width="17.42578125" bestFit="1" customWidth="1"/>
    <col min="3" max="3" width="18.5703125" bestFit="1" customWidth="1"/>
    <col min="4" max="4" width="18.42578125" bestFit="1" customWidth="1"/>
    <col min="5" max="5" width="17.42578125" bestFit="1" customWidth="1"/>
    <col min="6" max="6" width="17.42578125" customWidth="1"/>
    <col min="7" max="7" width="16.5703125" bestFit="1" customWidth="1"/>
    <col min="8" max="8" width="13.5703125" bestFit="1" customWidth="1"/>
    <col min="9" max="9" width="12.42578125" bestFit="1" customWidth="1"/>
    <col min="10" max="10" width="20.42578125" customWidth="1"/>
    <col min="11" max="11" width="17.85546875" bestFit="1" customWidth="1"/>
    <col min="12" max="12" width="20.140625" bestFit="1" customWidth="1"/>
    <col min="13" max="13" width="13.28515625" bestFit="1" customWidth="1"/>
  </cols>
  <sheetData>
    <row r="1" spans="1:15">
      <c r="A1" s="3" t="s">
        <v>448</v>
      </c>
      <c r="B1" s="4"/>
      <c r="E1" s="4"/>
      <c r="F1" s="4"/>
      <c r="G1" s="4"/>
      <c r="H1" s="4"/>
      <c r="I1" s="4"/>
      <c r="J1" s="4"/>
      <c r="K1" s="4"/>
      <c r="L1" s="4"/>
      <c r="M1" s="4"/>
      <c r="N1" s="4"/>
      <c r="O1" s="4"/>
    </row>
    <row r="2" spans="1:15">
      <c r="A2" s="1" t="s">
        <v>512</v>
      </c>
    </row>
    <row r="3" spans="1:15" ht="15.75" thickBot="1">
      <c r="A3" s="5" t="s">
        <v>559</v>
      </c>
      <c r="B3" s="6"/>
      <c r="C3" s="6"/>
      <c r="D3" s="6"/>
      <c r="E3" s="6"/>
      <c r="F3" s="6"/>
      <c r="G3" s="6"/>
      <c r="H3" s="6"/>
      <c r="I3" s="6"/>
      <c r="J3" s="6"/>
      <c r="K3" s="6"/>
      <c r="L3" s="6"/>
      <c r="M3" s="6"/>
      <c r="N3" s="6"/>
      <c r="O3" s="6"/>
    </row>
    <row r="4" spans="1:15">
      <c r="A4" s="4"/>
      <c r="B4" s="4"/>
    </row>
    <row r="6" spans="1:15">
      <c r="A6" s="144" t="s">
        <v>199</v>
      </c>
      <c r="B6" s="291">
        <v>25000</v>
      </c>
      <c r="C6" s="144" t="s">
        <v>568</v>
      </c>
    </row>
    <row r="7" spans="1:15">
      <c r="A7" s="144" t="s">
        <v>200</v>
      </c>
      <c r="B7" s="291">
        <v>0</v>
      </c>
      <c r="C7" s="144" t="s">
        <v>568</v>
      </c>
    </row>
    <row r="8" spans="1:15">
      <c r="A8" s="144" t="s">
        <v>201</v>
      </c>
      <c r="B8" s="291">
        <v>0</v>
      </c>
      <c r="C8" s="144" t="s">
        <v>568</v>
      </c>
    </row>
    <row r="9" spans="1:15">
      <c r="A9" s="144" t="s">
        <v>206</v>
      </c>
      <c r="B9" s="291">
        <v>0</v>
      </c>
      <c r="C9" s="144" t="s">
        <v>568</v>
      </c>
    </row>
    <row r="10" spans="1:15">
      <c r="A10" s="144" t="s">
        <v>207</v>
      </c>
      <c r="B10" s="291">
        <v>0</v>
      </c>
      <c r="C10" s="144" t="s">
        <v>568</v>
      </c>
    </row>
    <row r="11" spans="1:15">
      <c r="A11" s="144" t="s">
        <v>208</v>
      </c>
      <c r="B11" s="291">
        <v>70000</v>
      </c>
      <c r="C11" s="144" t="s">
        <v>568</v>
      </c>
    </row>
    <row r="12" spans="1:15">
      <c r="A12" s="144" t="s">
        <v>209</v>
      </c>
      <c r="B12" s="291">
        <v>0</v>
      </c>
      <c r="C12" s="144" t="s">
        <v>568</v>
      </c>
    </row>
    <row r="13" spans="1:15">
      <c r="A13" s="144" t="s">
        <v>210</v>
      </c>
      <c r="B13" s="291">
        <v>0</v>
      </c>
      <c r="C13" s="144" t="s">
        <v>568</v>
      </c>
      <c r="D13" s="288"/>
    </row>
    <row r="14" spans="1:15">
      <c r="A14" s="144"/>
      <c r="B14" s="146"/>
      <c r="D14" s="288"/>
    </row>
    <row r="15" spans="1:15">
      <c r="A15" s="144" t="s">
        <v>544</v>
      </c>
      <c r="B15" s="289">
        <v>0.46500000000000002</v>
      </c>
      <c r="D15" s="288"/>
    </row>
    <row r="16" spans="1:15">
      <c r="A16" s="144" t="s">
        <v>545</v>
      </c>
      <c r="B16" s="289">
        <v>0.56499999999999995</v>
      </c>
      <c r="D16" s="288"/>
    </row>
    <row r="17" spans="1:4">
      <c r="A17" s="144" t="s">
        <v>546</v>
      </c>
      <c r="B17" s="176">
        <v>0.75</v>
      </c>
      <c r="D17" s="288"/>
    </row>
    <row r="18" spans="1:4">
      <c r="A18" s="144" t="s">
        <v>547</v>
      </c>
      <c r="B18" s="176">
        <v>0.25</v>
      </c>
      <c r="D18" s="288"/>
    </row>
    <row r="19" spans="1:4">
      <c r="A19" s="144"/>
      <c r="B19" s="146"/>
      <c r="D19" s="288"/>
    </row>
    <row r="20" spans="1:4" ht="15.75" thickBot="1">
      <c r="A20" s="1"/>
      <c r="D20" s="288"/>
    </row>
    <row r="21" spans="1:4" ht="15.75" thickBot="1">
      <c r="B21" s="347" t="s">
        <v>48</v>
      </c>
      <c r="C21" s="348"/>
      <c r="D21" s="349"/>
    </row>
    <row r="22" spans="1:4" ht="15.75" thickBot="1">
      <c r="B22" s="148" t="s">
        <v>49</v>
      </c>
      <c r="C22" s="104" t="s">
        <v>50</v>
      </c>
      <c r="D22" s="104" t="s">
        <v>51</v>
      </c>
    </row>
    <row r="23" spans="1:4" ht="15.75" thickBot="1">
      <c r="B23" s="149">
        <v>1</v>
      </c>
      <c r="C23" s="128">
        <v>0.7</v>
      </c>
      <c r="D23" s="128">
        <v>0.75</v>
      </c>
    </row>
    <row r="24" spans="1:4" ht="15.75" thickBot="1">
      <c r="B24" s="150">
        <v>2</v>
      </c>
      <c r="C24" s="129">
        <v>0.7</v>
      </c>
      <c r="D24" s="129">
        <v>0.65</v>
      </c>
    </row>
    <row r="25" spans="1:4" ht="15.75" thickBot="1">
      <c r="B25" s="149">
        <v>3</v>
      </c>
      <c r="C25" s="128">
        <v>0.64</v>
      </c>
      <c r="D25" s="128">
        <v>0.56000000000000005</v>
      </c>
    </row>
    <row r="26" spans="1:4" ht="15.75" thickBot="1">
      <c r="B26" s="150">
        <v>4</v>
      </c>
      <c r="C26" s="129">
        <v>0.59</v>
      </c>
      <c r="D26" s="129">
        <v>0.5</v>
      </c>
    </row>
    <row r="27" spans="1:4" ht="15.75" thickBot="1">
      <c r="B27" s="149">
        <v>5</v>
      </c>
      <c r="C27" s="128">
        <v>0.55000000000000004</v>
      </c>
      <c r="D27" s="128">
        <v>0.46</v>
      </c>
    </row>
    <row r="28" spans="1:4" ht="15.75" thickBot="1">
      <c r="B28" s="150">
        <v>6</v>
      </c>
      <c r="C28" s="129">
        <v>0.52</v>
      </c>
      <c r="D28" s="129">
        <v>0.42</v>
      </c>
    </row>
    <row r="29" spans="1:4" ht="15.75" thickBot="1">
      <c r="B29" s="149">
        <v>11</v>
      </c>
      <c r="C29" s="128">
        <v>0.39</v>
      </c>
      <c r="D29" s="128">
        <v>0.3</v>
      </c>
    </row>
    <row r="30" spans="1:4" ht="15.75" thickBot="1">
      <c r="B30" s="150">
        <v>12</v>
      </c>
      <c r="C30" s="129">
        <v>0.37</v>
      </c>
      <c r="D30" s="129">
        <v>0.28999999999999998</v>
      </c>
    </row>
    <row r="31" spans="1:4" ht="15.75" thickBot="1">
      <c r="B31" s="149">
        <v>13</v>
      </c>
      <c r="C31" s="128">
        <v>0.35</v>
      </c>
      <c r="D31" s="128">
        <v>0.28000000000000003</v>
      </c>
    </row>
    <row r="32" spans="1:4" ht="15.75" thickBot="1">
      <c r="B32" s="150">
        <v>14</v>
      </c>
      <c r="C32" s="129">
        <v>0.34</v>
      </c>
      <c r="D32" s="129">
        <v>0.28000000000000003</v>
      </c>
    </row>
    <row r="33" spans="1:13" ht="15.75" thickBot="1">
      <c r="B33" s="149">
        <v>15</v>
      </c>
      <c r="C33" s="128">
        <v>0.33</v>
      </c>
      <c r="D33" s="128">
        <v>0.27</v>
      </c>
    </row>
    <row r="34" spans="1:13" ht="15.75" thickBot="1">
      <c r="B34" s="150">
        <v>16</v>
      </c>
      <c r="C34" s="129">
        <v>0.31</v>
      </c>
      <c r="D34" s="129">
        <v>0.28000000000000003</v>
      </c>
    </row>
    <row r="35" spans="1:13" ht="15.75" thickBot="1">
      <c r="B35" s="149">
        <v>19</v>
      </c>
      <c r="C35" s="128">
        <v>0.27</v>
      </c>
      <c r="D35" s="128">
        <v>0.28999999999999998</v>
      </c>
    </row>
    <row r="36" spans="1:13" ht="15.75" thickBot="1">
      <c r="B36" s="150">
        <v>20</v>
      </c>
      <c r="C36" s="129">
        <v>0.26</v>
      </c>
      <c r="D36" s="129">
        <v>0.28999999999999998</v>
      </c>
    </row>
    <row r="37" spans="1:13" ht="15.75" thickBot="1">
      <c r="B37" s="151">
        <v>90</v>
      </c>
      <c r="C37" s="152">
        <v>0.2</v>
      </c>
      <c r="D37" s="152">
        <v>0.2</v>
      </c>
    </row>
    <row r="39" spans="1:13" ht="15.75" thickBot="1">
      <c r="A39" s="154" t="s">
        <v>522</v>
      </c>
    </row>
    <row r="40" spans="1:13" ht="24.75" thickBot="1">
      <c r="A40" s="154"/>
      <c r="D40" s="148" t="s">
        <v>217</v>
      </c>
      <c r="E40" s="104" t="s">
        <v>87</v>
      </c>
      <c r="F40" s="104" t="s">
        <v>190</v>
      </c>
    </row>
    <row r="41" spans="1:13" ht="15.75" thickBot="1">
      <c r="A41" t="s">
        <v>52</v>
      </c>
      <c r="C41" s="155" t="s">
        <v>53</v>
      </c>
      <c r="D41" s="292">
        <f>IF('3c. Europe'!B15="Up", 0.5, 0)</f>
        <v>0.5</v>
      </c>
      <c r="E41" s="293">
        <f>IF('3c. Europe'!D15="Up", 0.5, 0)</f>
        <v>0</v>
      </c>
      <c r="F41" s="293">
        <f>IF('3c. Europe'!F15="Up", 0.5, 0)</f>
        <v>0.5</v>
      </c>
      <c r="J41" s="350" t="s">
        <v>54</v>
      </c>
      <c r="K41" s="351"/>
      <c r="L41" s="351"/>
      <c r="M41" s="352"/>
    </row>
    <row r="42" spans="1:13" ht="15.75" thickBot="1">
      <c r="A42" s="105" t="s">
        <v>57</v>
      </c>
      <c r="B42" s="104" t="s">
        <v>58</v>
      </c>
      <c r="C42" s="105" t="s">
        <v>59</v>
      </c>
      <c r="D42" s="104" t="s">
        <v>60</v>
      </c>
      <c r="E42" s="105" t="s">
        <v>61</v>
      </c>
      <c r="F42" s="104" t="s">
        <v>62</v>
      </c>
      <c r="G42" s="105" t="s">
        <v>63</v>
      </c>
      <c r="J42" s="228" t="s">
        <v>55</v>
      </c>
      <c r="K42" s="300" cm="1">
        <f t="array" ref="K42">annuitycalc(20,'2c. Inputs - Liabilities'!E20,'2b. Inputs - Assets'!B26)</f>
        <v>12.461159080597815</v>
      </c>
      <c r="L42" s="301" t="s">
        <v>56</v>
      </c>
      <c r="M42" s="302" cm="1">
        <f t="array" ref="M42">termlife(15,'2c. Inputs - Liabilities'!E19,20,'2b. Inputs - Assets'!B26)-'2c. Inputs - Liabilities'!B36*TermAnnuity(15,'2c. Inputs - Liabilities'!E19,20,'2b. Inputs - Assets'!B26)</f>
        <v>4.6703306033304061E-2</v>
      </c>
    </row>
    <row r="43" spans="1:13" ht="15.75" thickBot="1">
      <c r="A43" s="136" t="s">
        <v>58</v>
      </c>
      <c r="B43" s="159">
        <v>1</v>
      </c>
      <c r="C43" s="160" t="s">
        <v>66</v>
      </c>
      <c r="D43" s="161" t="s">
        <v>66</v>
      </c>
      <c r="E43" s="160" t="s">
        <v>66</v>
      </c>
      <c r="F43" s="159">
        <v>0</v>
      </c>
      <c r="G43" s="162">
        <v>0.25</v>
      </c>
      <c r="J43" s="229" t="s">
        <v>64</v>
      </c>
      <c r="K43" s="294" cm="1">
        <f t="array" ref="K43">'2c. Inputs - Liabilities'!L20*annuitycalc(0,'2c. Inputs - Liabilities'!E20,'2b. Inputs - Assets'!B28)/'2c. Inputs - Liabilities'!B37</f>
        <v>6493083.4840030055</v>
      </c>
      <c r="L43" s="137" t="s">
        <v>65</v>
      </c>
      <c r="M43" s="331" cm="1">
        <f t="array" ref="M43">(termlife(0,'2c. Inputs - Liabilities'!E19,20,'2b. Inputs - Assets'!B28)-'2c. Inputs - Liabilities'!B36*TermAnnuity(0,'2c. Inputs - Liabilities'!E19,20,'2b. Inputs - Assets'!B28))*'2c. Inputs - Liabilities'!F19</f>
        <v>4643045.3892363543</v>
      </c>
    </row>
    <row r="44" spans="1:13" ht="15.75" thickBot="1">
      <c r="A44" s="137" t="s">
        <v>59</v>
      </c>
      <c r="B44" s="163" t="s">
        <v>66</v>
      </c>
      <c r="C44" s="163">
        <v>1</v>
      </c>
      <c r="D44" s="164">
        <v>0.75</v>
      </c>
      <c r="E44" s="163">
        <v>0.75</v>
      </c>
      <c r="F44" s="164">
        <v>0</v>
      </c>
      <c r="G44" s="163">
        <v>0.25</v>
      </c>
      <c r="J44" s="228" t="s">
        <v>67</v>
      </c>
      <c r="K44" s="303" cm="1">
        <f t="array" ref="K44">'2c. Inputs - Liabilities'!L20*annuitycalc(0,'2c. Inputs - Liabilities'!E20,'2b. Inputs - Assets'!B29)/'2c. Inputs - Liabilities'!B37</f>
        <v>8828139.5060336385</v>
      </c>
      <c r="L44" s="301" t="s">
        <v>68</v>
      </c>
      <c r="M44" s="304" cm="1">
        <f t="array" ref="M44">(termlife(0,'2c. Inputs - Liabilities'!E19,20,'2b. Inputs - Assets'!B29)-'2c. Inputs - Liabilities'!B36*TermAnnuity(0,'2c. Inputs - Liabilities'!E19,20,'2b. Inputs - Assets'!B29))*'2c. Inputs - Liabilities'!F19</f>
        <v>8312676.2180709178</v>
      </c>
    </row>
    <row r="45" spans="1:13" ht="15.75" thickBot="1">
      <c r="A45" s="136" t="s">
        <v>60</v>
      </c>
      <c r="B45" s="161" t="s">
        <v>66</v>
      </c>
      <c r="C45" s="160">
        <v>0.75</v>
      </c>
      <c r="D45" s="161">
        <v>1</v>
      </c>
      <c r="E45" s="160">
        <v>0.5</v>
      </c>
      <c r="F45" s="159">
        <v>0</v>
      </c>
      <c r="G45" s="162">
        <v>0.25</v>
      </c>
      <c r="J45" s="230" t="s">
        <v>69</v>
      </c>
      <c r="K45" s="295">
        <f>(M44-'2c. Inputs - Liabilities'!L19)+(L48-'2c. Inputs - Liabilities'!L20)</f>
        <v>2533833.2229080899</v>
      </c>
      <c r="L45" s="231" t="s">
        <v>70</v>
      </c>
      <c r="M45" s="299">
        <f>(M43-'2c. Inputs - Liabilities'!L19)+(K43-'2c. Inputs - Liabilities'!L20)</f>
        <v>-2553450.5164846722</v>
      </c>
    </row>
    <row r="46" spans="1:13" ht="15.75" thickBot="1">
      <c r="A46" s="137" t="s">
        <v>61</v>
      </c>
      <c r="B46" s="163" t="s">
        <v>66</v>
      </c>
      <c r="C46" s="163">
        <v>0.75</v>
      </c>
      <c r="D46" s="164">
        <v>0.5</v>
      </c>
      <c r="E46" s="163">
        <v>1</v>
      </c>
      <c r="F46" s="164">
        <v>0</v>
      </c>
      <c r="G46" s="163">
        <v>0.25</v>
      </c>
      <c r="J46" s="104" t="s">
        <v>28</v>
      </c>
      <c r="K46" s="105" t="s">
        <v>71</v>
      </c>
      <c r="L46" s="104" t="s">
        <v>72</v>
      </c>
      <c r="M46" s="55"/>
    </row>
    <row r="47" spans="1:13" ht="15.75" thickBot="1">
      <c r="A47" s="136" t="s">
        <v>62</v>
      </c>
      <c r="B47" s="159">
        <v>0</v>
      </c>
      <c r="C47" s="160">
        <v>0</v>
      </c>
      <c r="D47" s="161">
        <v>0</v>
      </c>
      <c r="E47" s="160">
        <v>0</v>
      </c>
      <c r="F47" s="159">
        <v>1</v>
      </c>
      <c r="G47" s="162">
        <v>0</v>
      </c>
      <c r="J47" s="232" t="s">
        <v>31</v>
      </c>
      <c r="K47" s="306">
        <f>M42*'2c. Inputs - Liabilities'!F19</f>
        <v>8173078.5558282109</v>
      </c>
      <c r="L47" s="305" t="s">
        <v>73</v>
      </c>
      <c r="M47" s="55"/>
    </row>
    <row r="48" spans="1:13" ht="15.75" thickBot="1">
      <c r="A48" s="173" t="s">
        <v>63</v>
      </c>
      <c r="B48" s="174">
        <v>0.25</v>
      </c>
      <c r="C48" s="174">
        <v>0.25</v>
      </c>
      <c r="D48" s="175">
        <v>0.25</v>
      </c>
      <c r="E48" s="174">
        <v>0.25</v>
      </c>
      <c r="F48" s="175">
        <v>0</v>
      </c>
      <c r="G48" s="174">
        <v>1</v>
      </c>
      <c r="J48" s="233" t="s">
        <v>33</v>
      </c>
      <c r="K48" s="297" t="s">
        <v>73</v>
      </c>
      <c r="L48" s="296">
        <f>'2c. Inputs - Liabilities'!L20*K42/'2c. Inputs - Liabilities'!B37</f>
        <v>7910736.3945612041</v>
      </c>
      <c r="M48" s="55"/>
    </row>
    <row r="49" spans="1:13">
      <c r="J49" s="144" t="s">
        <v>74</v>
      </c>
    </row>
    <row r="50" spans="1:13" ht="15.75" thickBot="1">
      <c r="A50" s="154" t="s">
        <v>523</v>
      </c>
    </row>
    <row r="51" spans="1:13" ht="15.75" thickBot="1">
      <c r="A51" s="105" t="s">
        <v>57</v>
      </c>
      <c r="B51" s="104" t="s">
        <v>76</v>
      </c>
      <c r="C51" s="105" t="s">
        <v>77</v>
      </c>
      <c r="D51" s="104" t="s">
        <v>78</v>
      </c>
      <c r="E51" s="105" t="s">
        <v>79</v>
      </c>
      <c r="F51" s="104" t="s">
        <v>80</v>
      </c>
      <c r="G51" s="105" t="s">
        <v>81</v>
      </c>
      <c r="H51" s="105" t="s">
        <v>82</v>
      </c>
      <c r="I51" s="20"/>
      <c r="J51" s="350" t="s">
        <v>75</v>
      </c>
      <c r="K51" s="351"/>
      <c r="L51" s="351"/>
      <c r="M51" s="352"/>
    </row>
    <row r="52" spans="1:13" ht="15.75" thickBot="1">
      <c r="A52" s="136" t="s">
        <v>76</v>
      </c>
      <c r="B52" s="159">
        <v>1</v>
      </c>
      <c r="C52" s="160">
        <v>-0.25</v>
      </c>
      <c r="D52" s="161">
        <v>0.25</v>
      </c>
      <c r="E52" s="160">
        <v>0</v>
      </c>
      <c r="F52" s="159">
        <v>0.25</v>
      </c>
      <c r="G52" s="162">
        <v>0</v>
      </c>
      <c r="H52" s="162">
        <v>0.25</v>
      </c>
      <c r="J52" s="228" t="s">
        <v>55</v>
      </c>
      <c r="K52" s="300" cm="1">
        <f t="array" ref="K52">annuitycalc(20,'2c. Inputs - Liabilities'!E31,'2b. Inputs - Assets'!B26)</f>
        <v>12.461159080597815</v>
      </c>
      <c r="L52" s="301" t="s">
        <v>56</v>
      </c>
      <c r="M52" s="302" cm="1">
        <f t="array" ref="M52">termlife(15,'2c. Inputs - Liabilities'!E30,20,'2b. Inputs - Assets'!B26)-'2c. Inputs - Liabilities'!B36*TermAnnuity(15,'2c. Inputs - Liabilities'!E30,20,'2b. Inputs - Assets'!B26)</f>
        <v>4.6703306033304061E-2</v>
      </c>
    </row>
    <row r="53" spans="1:13" ht="15.75" thickBot="1">
      <c r="A53" s="137" t="s">
        <v>77</v>
      </c>
      <c r="B53" s="163">
        <v>-0.25</v>
      </c>
      <c r="C53" s="163">
        <v>1</v>
      </c>
      <c r="D53" s="164">
        <v>0</v>
      </c>
      <c r="E53" s="163">
        <v>0.25</v>
      </c>
      <c r="F53" s="164">
        <v>0.25</v>
      </c>
      <c r="G53" s="163">
        <v>0.25</v>
      </c>
      <c r="H53" s="163">
        <v>0</v>
      </c>
      <c r="I53" s="20"/>
      <c r="J53" s="229" t="s">
        <v>64</v>
      </c>
      <c r="K53" s="294" cm="1">
        <f t="array" ref="K53">'2c. Inputs - Liabilities'!L31*annuitycalc(0,'2c. Inputs - Liabilities'!E31,'2b. Inputs - Assets'!B28)/'2c. Inputs - Liabilities'!B37</f>
        <v>9734851.9882226642</v>
      </c>
      <c r="L53" s="137" t="s">
        <v>65</v>
      </c>
      <c r="M53" s="298" cm="1">
        <f t="array" ref="M53">(termlife(0,'2c. Inputs - Liabilities'!E30,20,'2b. Inputs - Assets'!B28)-'2c. Inputs - Liabilities'!B36*TermAnnuity(0,'2c. Inputs - Liabilities'!E30,20,'2b. Inputs - Assets'!B28))*'2c. Inputs - Liabilities'!F30</f>
        <v>2322661.552804383</v>
      </c>
    </row>
    <row r="54" spans="1:13" ht="15.75" thickBot="1">
      <c r="A54" s="136" t="s">
        <v>78</v>
      </c>
      <c r="B54" s="161">
        <v>0.25</v>
      </c>
      <c r="C54" s="160">
        <v>0</v>
      </c>
      <c r="D54" s="161">
        <v>1</v>
      </c>
      <c r="E54" s="160">
        <v>0</v>
      </c>
      <c r="F54" s="159">
        <v>0.5</v>
      </c>
      <c r="G54" s="162">
        <v>0</v>
      </c>
      <c r="H54" s="162">
        <v>0.25</v>
      </c>
      <c r="I54" s="20"/>
      <c r="J54" s="228" t="s">
        <v>67</v>
      </c>
      <c r="K54" s="303" cm="1">
        <f t="array" ref="K54">'2c. Inputs - Liabilities'!L31*annuitycalc(0,'2c. Inputs - Liabilities'!E31,'2b. Inputs - Assets'!B29)/'2c. Inputs - Liabilities'!B37</f>
        <v>13235719.459691275</v>
      </c>
      <c r="L54" s="301" t="s">
        <v>68</v>
      </c>
      <c r="M54" s="304" cm="1">
        <f t="array" ref="M54">(termlife(0,'2c. Inputs - Liabilities'!E30,20,'2b. Inputs - Assets'!B29)-'2c. Inputs - Liabilities'!B36*TermAnnuity(0,'2c. Inputs - Liabilities'!E30,20,'2b. Inputs - Assets'!B29))*'2c. Inputs - Liabilities'!F30</f>
        <v>4158377.0637659412</v>
      </c>
    </row>
    <row r="55" spans="1:13" ht="15.75" thickBot="1">
      <c r="A55" s="137" t="s">
        <v>79</v>
      </c>
      <c r="B55" s="163">
        <v>0</v>
      </c>
      <c r="C55" s="163">
        <v>0.25</v>
      </c>
      <c r="D55" s="164">
        <v>0</v>
      </c>
      <c r="E55" s="163">
        <v>1</v>
      </c>
      <c r="F55" s="164">
        <v>0.5</v>
      </c>
      <c r="G55" s="163">
        <v>0</v>
      </c>
      <c r="H55" s="163">
        <v>0.25</v>
      </c>
      <c r="I55" s="20"/>
      <c r="J55" s="230" t="s">
        <v>69</v>
      </c>
      <c r="K55" s="295">
        <f>(M54- '2c. Inputs - Liabilities'!L30)+(L58 - '2c. Inputs - Liabilities'!L31)</f>
        <v>1677871.8214874086</v>
      </c>
      <c r="L55" s="231" t="s">
        <v>70</v>
      </c>
      <c r="M55" s="299">
        <f>(M53-'2c. Inputs - Liabilities'!L30)+(K53-'2c. Inputs - Liabilities'!L31)</f>
        <v>-2283280.901079041</v>
      </c>
    </row>
    <row r="56" spans="1:13" ht="15.75" thickBot="1">
      <c r="A56" s="136" t="s">
        <v>80</v>
      </c>
      <c r="B56" s="159">
        <v>0.25</v>
      </c>
      <c r="C56" s="160">
        <v>0.25</v>
      </c>
      <c r="D56" s="161">
        <v>0.5</v>
      </c>
      <c r="E56" s="160">
        <v>0.5</v>
      </c>
      <c r="F56" s="159">
        <v>1</v>
      </c>
      <c r="G56" s="162">
        <v>0.5</v>
      </c>
      <c r="H56" s="162">
        <v>0.25</v>
      </c>
      <c r="I56" s="20"/>
      <c r="J56" s="104" t="s">
        <v>28</v>
      </c>
      <c r="K56" s="105" t="s">
        <v>71</v>
      </c>
      <c r="L56" s="104" t="s">
        <v>72</v>
      </c>
      <c r="M56" s="55"/>
    </row>
    <row r="57" spans="1:13" ht="15.75" thickBot="1">
      <c r="A57" s="137" t="s">
        <v>81</v>
      </c>
      <c r="B57" s="165">
        <v>0</v>
      </c>
      <c r="C57" s="163">
        <v>0.25</v>
      </c>
      <c r="D57" s="166">
        <v>0</v>
      </c>
      <c r="E57" s="163">
        <v>0</v>
      </c>
      <c r="F57" s="165">
        <v>0.5</v>
      </c>
      <c r="G57" s="167">
        <v>1</v>
      </c>
      <c r="H57" s="167">
        <v>0</v>
      </c>
      <c r="I57" s="20"/>
      <c r="J57" s="232" t="s">
        <v>31</v>
      </c>
      <c r="K57" s="306">
        <f>M52*'2c. Inputs - Liabilities'!F30</f>
        <v>4088543.9917688062</v>
      </c>
      <c r="L57" s="305" t="s">
        <v>73</v>
      </c>
      <c r="M57" s="55"/>
    </row>
    <row r="58" spans="1:13" ht="15.75" thickBot="1">
      <c r="A58" s="168" t="s">
        <v>82</v>
      </c>
      <c r="B58" s="169">
        <v>0.25</v>
      </c>
      <c r="C58" s="170">
        <v>0</v>
      </c>
      <c r="D58" s="171">
        <v>0.25</v>
      </c>
      <c r="E58" s="170">
        <v>0.25</v>
      </c>
      <c r="F58" s="169">
        <v>0.25</v>
      </c>
      <c r="G58" s="172">
        <v>0</v>
      </c>
      <c r="H58" s="172">
        <v>1</v>
      </c>
      <c r="I58" s="20"/>
      <c r="J58" s="233" t="s">
        <v>33</v>
      </c>
      <c r="K58" s="297" t="s">
        <v>73</v>
      </c>
      <c r="L58" s="296">
        <f>'2c. Inputs - Liabilities'!L31*K52/'2c. Inputs - Liabilities'!B37</f>
        <v>11860289.199827556</v>
      </c>
      <c r="M58" s="55"/>
    </row>
    <row r="59" spans="1:13">
      <c r="I59" s="20"/>
      <c r="J59" s="144" t="s">
        <v>74</v>
      </c>
    </row>
  </sheetData>
  <mergeCells count="3">
    <mergeCell ref="B21:D21"/>
    <mergeCell ref="J41:M41"/>
    <mergeCell ref="J51:M51"/>
  </mergeCells>
  <pageMargins left="0.7" right="0.7" top="0.75" bottom="0.75" header="0.3" footer="0.3"/>
  <pageSetup orientation="portrait"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20A42-DE79-41DE-92E8-061E2E7A7FE3}">
  <sheetPr codeName="Sheet15">
    <tabColor rgb="FF0070C0"/>
  </sheetPr>
  <dimension ref="A1:O78"/>
  <sheetViews>
    <sheetView showGridLines="0" workbookViewId="0"/>
  </sheetViews>
  <sheetFormatPr defaultRowHeight="15"/>
  <cols>
    <col min="1" max="1" width="37.42578125" bestFit="1" customWidth="1"/>
    <col min="2" max="2" width="17.42578125" bestFit="1" customWidth="1"/>
    <col min="3" max="3" width="18.5703125" bestFit="1" customWidth="1"/>
    <col min="4" max="4" width="18.42578125" bestFit="1" customWidth="1"/>
    <col min="5" max="5" width="17.42578125" bestFit="1" customWidth="1"/>
    <col min="6" max="6" width="17.42578125" customWidth="1"/>
    <col min="7" max="7" width="16.5703125" bestFit="1" customWidth="1"/>
    <col min="8" max="8" width="13.5703125" bestFit="1" customWidth="1"/>
    <col min="9" max="9" width="12.42578125" bestFit="1" customWidth="1"/>
    <col min="10" max="10" width="20.42578125" customWidth="1"/>
    <col min="11" max="11" width="17.85546875" bestFit="1" customWidth="1"/>
    <col min="12" max="12" width="20.140625" bestFit="1" customWidth="1"/>
    <col min="13" max="13" width="13.28515625" bestFit="1" customWidth="1"/>
  </cols>
  <sheetData>
    <row r="1" spans="1:15">
      <c r="A1" s="3" t="s">
        <v>448</v>
      </c>
      <c r="B1" s="4"/>
      <c r="E1" s="4"/>
      <c r="F1" s="4"/>
      <c r="G1" s="4"/>
      <c r="H1" s="4"/>
      <c r="I1" s="4"/>
      <c r="J1" s="4"/>
      <c r="K1" s="4"/>
      <c r="L1" s="4"/>
      <c r="M1" s="4"/>
      <c r="N1" s="4"/>
      <c r="O1" s="4"/>
    </row>
    <row r="2" spans="1:15">
      <c r="A2" s="1" t="s">
        <v>512</v>
      </c>
    </row>
    <row r="3" spans="1:15" ht="15.75" thickBot="1">
      <c r="A3" s="5" t="s">
        <v>560</v>
      </c>
      <c r="B3" s="6"/>
      <c r="C3" s="6"/>
      <c r="D3" s="6"/>
      <c r="E3" s="6"/>
      <c r="F3" s="6"/>
      <c r="G3" s="6"/>
      <c r="H3" s="6"/>
      <c r="I3" s="6"/>
      <c r="J3" s="6"/>
      <c r="K3" s="6"/>
      <c r="L3" s="6"/>
      <c r="M3" s="6"/>
      <c r="N3" s="6"/>
      <c r="O3" s="6"/>
    </row>
    <row r="4" spans="1:15">
      <c r="A4" s="4"/>
      <c r="B4" s="4"/>
    </row>
    <row r="6" spans="1:15">
      <c r="A6" s="144" t="s">
        <v>473</v>
      </c>
      <c r="B6" s="291">
        <v>100000</v>
      </c>
      <c r="C6" s="144" t="s">
        <v>569</v>
      </c>
    </row>
    <row r="7" spans="1:15">
      <c r="A7" s="144" t="s">
        <v>501</v>
      </c>
      <c r="B7" s="291">
        <v>0</v>
      </c>
      <c r="C7" s="144" t="s">
        <v>569</v>
      </c>
    </row>
    <row r="8" spans="1:15">
      <c r="A8" s="144" t="s">
        <v>502</v>
      </c>
      <c r="B8" s="291">
        <v>0</v>
      </c>
      <c r="C8" s="144" t="s">
        <v>569</v>
      </c>
    </row>
    <row r="9" spans="1:15">
      <c r="A9" s="144" t="s">
        <v>474</v>
      </c>
      <c r="B9" s="291">
        <v>0</v>
      </c>
      <c r="C9" s="144" t="s">
        <v>569</v>
      </c>
    </row>
    <row r="10" spans="1:15">
      <c r="A10" s="189" t="s">
        <v>503</v>
      </c>
      <c r="B10" s="291">
        <v>0</v>
      </c>
      <c r="C10" s="144" t="s">
        <v>569</v>
      </c>
    </row>
    <row r="11" spans="1:15" ht="24">
      <c r="A11" s="190" t="s">
        <v>504</v>
      </c>
      <c r="B11" s="291">
        <v>0</v>
      </c>
      <c r="C11" s="144" t="s">
        <v>569</v>
      </c>
    </row>
    <row r="12" spans="1:15">
      <c r="A12" s="189" t="s">
        <v>505</v>
      </c>
      <c r="B12" s="291">
        <v>0</v>
      </c>
      <c r="C12" s="144" t="s">
        <v>569</v>
      </c>
    </row>
    <row r="13" spans="1:15">
      <c r="A13" s="189" t="s">
        <v>506</v>
      </c>
      <c r="B13" s="291">
        <v>0</v>
      </c>
      <c r="C13" s="144" t="s">
        <v>569</v>
      </c>
    </row>
    <row r="14" spans="1:15">
      <c r="A14" s="189" t="s">
        <v>497</v>
      </c>
      <c r="B14" s="291">
        <v>0</v>
      </c>
      <c r="C14" s="144" t="s">
        <v>569</v>
      </c>
    </row>
    <row r="15" spans="1:15">
      <c r="A15" s="189" t="s">
        <v>498</v>
      </c>
      <c r="B15" s="291">
        <v>0</v>
      </c>
      <c r="C15" s="144" t="s">
        <v>569</v>
      </c>
    </row>
    <row r="16" spans="1:15">
      <c r="A16" s="189" t="s">
        <v>499</v>
      </c>
      <c r="B16" s="291">
        <v>0</v>
      </c>
      <c r="C16" s="144" t="s">
        <v>569</v>
      </c>
    </row>
    <row r="17" spans="1:5">
      <c r="A17" s="189" t="s">
        <v>500</v>
      </c>
      <c r="B17" s="291">
        <v>0</v>
      </c>
      <c r="C17" s="144" t="s">
        <v>569</v>
      </c>
    </row>
    <row r="18" spans="1:5" ht="15.75" thickBot="1">
      <c r="A18" s="1"/>
    </row>
    <row r="19" spans="1:5" ht="36.75" thickBot="1">
      <c r="A19" s="105" t="s">
        <v>126</v>
      </c>
      <c r="B19" s="104" t="s">
        <v>127</v>
      </c>
      <c r="C19" s="104" t="s">
        <v>128</v>
      </c>
      <c r="D19" s="104" t="s">
        <v>129</v>
      </c>
    </row>
    <row r="20" spans="1:5" ht="15.75" thickBot="1">
      <c r="A20" s="193">
        <v>0</v>
      </c>
      <c r="B20" s="130">
        <v>0</v>
      </c>
      <c r="C20" s="195" t="s">
        <v>130</v>
      </c>
      <c r="D20" s="195" t="s">
        <v>130</v>
      </c>
    </row>
    <row r="21" spans="1:5" ht="15.75" thickBot="1">
      <c r="A21" s="194">
        <v>1</v>
      </c>
      <c r="B21" s="180">
        <v>4.0000000000000001E-3</v>
      </c>
      <c r="C21" s="180">
        <v>6.0000000000000001E-3</v>
      </c>
      <c r="D21" s="180">
        <v>5.0000000000000001E-3</v>
      </c>
    </row>
    <row r="22" spans="1:5" ht="15.75" thickBot="1">
      <c r="A22" s="193">
        <v>2</v>
      </c>
      <c r="B22" s="130">
        <v>8.0000000000000002E-3</v>
      </c>
      <c r="C22" s="195">
        <v>1.2E-2</v>
      </c>
      <c r="D22" s="195">
        <v>0.01</v>
      </c>
    </row>
    <row r="23" spans="1:5" ht="15.75" thickBot="1">
      <c r="A23" s="194">
        <v>3</v>
      </c>
      <c r="B23" s="180">
        <v>1.4999999999999999E-2</v>
      </c>
      <c r="C23" s="180">
        <v>0.02</v>
      </c>
      <c r="D23" s="180">
        <v>1.7999999999999999E-2</v>
      </c>
    </row>
    <row r="24" spans="1:5" ht="15.75" thickBot="1">
      <c r="A24" s="193">
        <v>4</v>
      </c>
      <c r="B24" s="130">
        <v>0.03</v>
      </c>
      <c r="C24" s="195">
        <v>0.04</v>
      </c>
      <c r="D24" s="195">
        <v>3.5000000000000003E-2</v>
      </c>
    </row>
    <row r="25" spans="1:5" ht="15.75" thickBot="1">
      <c r="A25" s="194">
        <v>5</v>
      </c>
      <c r="B25" s="180">
        <v>0.08</v>
      </c>
      <c r="C25" s="180">
        <v>0.11</v>
      </c>
      <c r="D25" s="180">
        <v>0.1</v>
      </c>
      <c r="E25" s="58"/>
    </row>
    <row r="26" spans="1:5" ht="15.75" thickBot="1">
      <c r="A26" s="193">
        <v>6</v>
      </c>
      <c r="B26" s="130">
        <v>0.15</v>
      </c>
      <c r="C26" s="195">
        <v>0.25</v>
      </c>
      <c r="D26" s="195">
        <v>0.2</v>
      </c>
      <c r="E26" s="58"/>
    </row>
    <row r="27" spans="1:5" ht="15.75" thickBot="1">
      <c r="A27" s="194">
        <v>7</v>
      </c>
      <c r="B27" s="180">
        <v>0.26300000000000001</v>
      </c>
      <c r="C27" s="180">
        <v>0.35</v>
      </c>
      <c r="D27" s="180">
        <v>0.3</v>
      </c>
      <c r="E27" s="58"/>
    </row>
    <row r="28" spans="1:5" ht="15.75" thickBot="1">
      <c r="A28" s="196">
        <v>8</v>
      </c>
      <c r="B28" s="197">
        <v>0.35</v>
      </c>
      <c r="C28" s="198">
        <v>0.35</v>
      </c>
      <c r="D28" s="198">
        <v>0.35</v>
      </c>
    </row>
    <row r="30" spans="1:5">
      <c r="A30" s="144" t="s">
        <v>25</v>
      </c>
      <c r="B30" s="144"/>
    </row>
    <row r="31" spans="1:5">
      <c r="A31" s="144" t="s">
        <v>449</v>
      </c>
      <c r="B31" s="176">
        <v>0.45</v>
      </c>
    </row>
    <row r="32" spans="1:5">
      <c r="A32" s="144" t="s">
        <v>131</v>
      </c>
      <c r="B32" s="144"/>
    </row>
    <row r="33" spans="1:4">
      <c r="A33" s="144" t="s">
        <v>132</v>
      </c>
      <c r="B33" s="176">
        <v>0.1</v>
      </c>
    </row>
    <row r="35" spans="1:4" ht="15.75" thickBot="1">
      <c r="A35" s="153" t="s">
        <v>133</v>
      </c>
    </row>
    <row r="36" spans="1:4" ht="24.75" thickBot="1">
      <c r="A36" s="105" t="s">
        <v>134</v>
      </c>
      <c r="B36" s="104" t="s">
        <v>36</v>
      </c>
      <c r="C36" s="104" t="s">
        <v>135</v>
      </c>
      <c r="D36" s="104" t="s">
        <v>136</v>
      </c>
    </row>
    <row r="37" spans="1:4" ht="15.75" thickBot="1">
      <c r="A37" s="193">
        <v>1</v>
      </c>
      <c r="B37" s="178">
        <v>1000000000</v>
      </c>
      <c r="C37" s="157">
        <f>D37/2</f>
        <v>1.9850000000000001</v>
      </c>
      <c r="D37" s="157">
        <v>3.97</v>
      </c>
    </row>
    <row r="38" spans="1:4" ht="15.75" thickBot="1">
      <c r="A38" s="194">
        <v>2</v>
      </c>
      <c r="B38" s="211">
        <v>5000000000</v>
      </c>
      <c r="C38" s="199">
        <f>D38/2</f>
        <v>0.9</v>
      </c>
      <c r="D38" s="199">
        <v>1.8</v>
      </c>
    </row>
    <row r="39" spans="1:4" ht="15.75" thickBot="1">
      <c r="A39" s="193">
        <v>3</v>
      </c>
      <c r="B39" s="178">
        <v>10000000000</v>
      </c>
      <c r="C39" s="157">
        <f>D39/2</f>
        <v>0.72</v>
      </c>
      <c r="D39" s="157">
        <v>1.44</v>
      </c>
    </row>
    <row r="40" spans="1:4" ht="15.75" thickBot="1">
      <c r="A40" s="194">
        <v>4</v>
      </c>
      <c r="B40" s="211">
        <v>50000000000</v>
      </c>
      <c r="C40" s="199">
        <f>D40/2</f>
        <v>0.64500000000000002</v>
      </c>
      <c r="D40" s="199">
        <v>1.29</v>
      </c>
    </row>
    <row r="41" spans="1:4" ht="15.75" thickBot="1">
      <c r="A41" s="196">
        <v>5</v>
      </c>
      <c r="B41" s="201" t="s">
        <v>524</v>
      </c>
      <c r="C41" s="200">
        <f>D41/2</f>
        <v>0.56499999999999995</v>
      </c>
      <c r="D41" s="200">
        <v>1.1299999999999999</v>
      </c>
    </row>
    <row r="43" spans="1:4" ht="15.75" thickBot="1">
      <c r="A43" s="153" t="s">
        <v>137</v>
      </c>
    </row>
    <row r="44" spans="1:4" ht="24.75" thickBot="1">
      <c r="A44" s="105" t="s">
        <v>138</v>
      </c>
      <c r="B44" s="104" t="s">
        <v>491</v>
      </c>
      <c r="C44" s="104" t="s">
        <v>139</v>
      </c>
    </row>
    <row r="45" spans="1:4" ht="15.75" thickBot="1">
      <c r="A45" s="191" t="s">
        <v>140</v>
      </c>
      <c r="B45" s="208">
        <v>55</v>
      </c>
      <c r="C45" s="202">
        <v>0.02</v>
      </c>
    </row>
    <row r="46" spans="1:4" ht="15.75" thickBot="1">
      <c r="A46" s="192" t="s">
        <v>141</v>
      </c>
      <c r="B46" s="209">
        <v>60</v>
      </c>
      <c r="C46" s="179">
        <v>0.03</v>
      </c>
    </row>
    <row r="47" spans="1:4" ht="15.75" thickBot="1">
      <c r="A47" s="203" t="s">
        <v>142</v>
      </c>
      <c r="B47" s="210">
        <v>65</v>
      </c>
      <c r="C47" s="204">
        <v>0.04</v>
      </c>
    </row>
    <row r="48" spans="1:4" ht="15.75" thickBot="1">
      <c r="A48" s="192" t="s">
        <v>143</v>
      </c>
      <c r="B48" s="209">
        <v>70</v>
      </c>
      <c r="C48" s="179">
        <v>0.05</v>
      </c>
    </row>
    <row r="49" spans="1:8" ht="15.75" thickBot="1">
      <c r="A49" s="191" t="s">
        <v>144</v>
      </c>
      <c r="B49" s="208">
        <v>75</v>
      </c>
      <c r="C49" s="202">
        <v>0.06</v>
      </c>
    </row>
    <row r="50" spans="1:8" ht="15.75" thickBot="1">
      <c r="A50" s="205" t="s">
        <v>145</v>
      </c>
      <c r="B50" s="206" t="s">
        <v>490</v>
      </c>
      <c r="C50" s="207">
        <v>7.0000000000000007E-2</v>
      </c>
    </row>
    <row r="52" spans="1:8" ht="15.75" thickBot="1">
      <c r="A52" s="153" t="s">
        <v>508</v>
      </c>
    </row>
    <row r="53" spans="1:8" ht="24.75" thickBot="1">
      <c r="A53" s="213" t="s">
        <v>509</v>
      </c>
      <c r="B53" s="214">
        <v>0.02</v>
      </c>
    </row>
    <row r="54" spans="1:8" ht="24.75" thickBot="1">
      <c r="A54" s="215" t="s">
        <v>510</v>
      </c>
      <c r="B54" s="216">
        <v>5.0000000000000001E-3</v>
      </c>
    </row>
    <row r="56" spans="1:8" ht="15.75" thickBot="1">
      <c r="A56" s="51"/>
      <c r="B56" s="118" t="s">
        <v>146</v>
      </c>
      <c r="C56" s="118" t="s">
        <v>147</v>
      </c>
      <c r="D56" s="118" t="s">
        <v>148</v>
      </c>
      <c r="E56" s="227" t="s">
        <v>149</v>
      </c>
      <c r="F56" s="59"/>
    </row>
    <row r="57" spans="1:8" ht="15.75" thickBot="1">
      <c r="A57" s="49" t="s">
        <v>150</v>
      </c>
      <c r="B57" s="113">
        <v>1</v>
      </c>
      <c r="C57" s="113"/>
      <c r="D57" s="113"/>
      <c r="E57" s="217"/>
      <c r="F57" s="47"/>
    </row>
    <row r="58" spans="1:8" ht="15.75" thickBot="1">
      <c r="A58" s="50" t="s">
        <v>151</v>
      </c>
      <c r="B58" s="115">
        <v>0.25</v>
      </c>
      <c r="C58" s="115">
        <v>1</v>
      </c>
      <c r="D58" s="115"/>
      <c r="E58" s="218"/>
      <c r="F58" s="48"/>
    </row>
    <row r="59" spans="1:8" ht="15.75" thickBot="1">
      <c r="A59" s="49" t="s">
        <v>152</v>
      </c>
      <c r="B59" s="113">
        <v>0.125</v>
      </c>
      <c r="C59" s="113">
        <v>0.5</v>
      </c>
      <c r="D59" s="113">
        <v>1</v>
      </c>
      <c r="E59" s="217"/>
      <c r="F59" s="48"/>
    </row>
    <row r="60" spans="1:8">
      <c r="A60" s="52" t="s">
        <v>153</v>
      </c>
      <c r="B60" s="219">
        <v>0.125</v>
      </c>
      <c r="C60" s="219">
        <v>0.25</v>
      </c>
      <c r="D60" s="219">
        <v>0</v>
      </c>
      <c r="E60" s="220">
        <v>1</v>
      </c>
    </row>
    <row r="62" spans="1:8">
      <c r="A62" s="153" t="s">
        <v>531</v>
      </c>
      <c r="B62" s="153"/>
      <c r="C62" s="153"/>
      <c r="D62" s="153"/>
      <c r="E62" s="153"/>
      <c r="F62" s="153"/>
    </row>
    <row r="63" spans="1:8" ht="15.75" thickBot="1">
      <c r="A63" s="212" t="s">
        <v>525</v>
      </c>
      <c r="B63" s="221" t="s">
        <v>526</v>
      </c>
      <c r="C63" s="221" t="s">
        <v>527</v>
      </c>
      <c r="D63" s="221" t="s">
        <v>528</v>
      </c>
      <c r="E63" s="222" t="s">
        <v>529</v>
      </c>
      <c r="F63" s="221" t="s">
        <v>530</v>
      </c>
      <c r="H63" s="61"/>
    </row>
    <row r="64" spans="1:8" ht="15.75" thickBot="1">
      <c r="A64" s="102" t="s">
        <v>154</v>
      </c>
      <c r="B64" s="113">
        <v>1</v>
      </c>
      <c r="C64" s="113"/>
      <c r="D64" s="113"/>
      <c r="E64" s="217"/>
      <c r="F64" s="113"/>
      <c r="H64" s="48"/>
    </row>
    <row r="65" spans="1:8" ht="15.75" thickBot="1">
      <c r="A65" s="103" t="s">
        <v>155</v>
      </c>
      <c r="B65" s="115">
        <v>0.5</v>
      </c>
      <c r="C65" s="115">
        <v>1</v>
      </c>
      <c r="D65" s="115"/>
      <c r="E65" s="218"/>
      <c r="F65" s="115"/>
      <c r="H65" s="48"/>
    </row>
    <row r="66" spans="1:8" ht="15.75" thickBot="1">
      <c r="A66" s="102" t="s">
        <v>156</v>
      </c>
      <c r="B66" s="113" t="s">
        <v>66</v>
      </c>
      <c r="C66" s="113" t="s">
        <v>66</v>
      </c>
      <c r="D66" s="113">
        <v>1</v>
      </c>
      <c r="E66" s="217"/>
      <c r="F66" s="113"/>
    </row>
    <row r="67" spans="1:8" ht="15.75" thickBot="1">
      <c r="A67" s="103" t="s">
        <v>157</v>
      </c>
      <c r="B67" s="219">
        <v>0.25</v>
      </c>
      <c r="C67" s="219">
        <v>0.25</v>
      </c>
      <c r="D67" s="219">
        <v>0.25</v>
      </c>
      <c r="E67" s="220">
        <v>1</v>
      </c>
      <c r="F67" s="219"/>
    </row>
    <row r="68" spans="1:8" ht="15.75" thickBot="1">
      <c r="A68" s="102" t="s">
        <v>158</v>
      </c>
      <c r="B68" s="113">
        <v>0</v>
      </c>
      <c r="C68" s="113">
        <v>0</v>
      </c>
      <c r="D68" s="113">
        <v>0</v>
      </c>
      <c r="E68" s="217">
        <v>0</v>
      </c>
      <c r="F68" s="113">
        <v>1</v>
      </c>
    </row>
    <row r="70" spans="1:8" ht="15.75" thickBot="1">
      <c r="A70" s="153" t="s">
        <v>532</v>
      </c>
      <c r="B70" s="153"/>
      <c r="C70" s="153"/>
      <c r="D70" s="153"/>
      <c r="E70" s="153"/>
      <c r="F70" s="153"/>
      <c r="G70" s="153"/>
      <c r="H70" s="153"/>
    </row>
    <row r="71" spans="1:8" ht="15.75" thickBot="1">
      <c r="A71" s="104" t="s">
        <v>475</v>
      </c>
      <c r="B71" s="223" t="s">
        <v>476</v>
      </c>
      <c r="C71" s="223" t="s">
        <v>477</v>
      </c>
      <c r="D71" s="223" t="s">
        <v>478</v>
      </c>
      <c r="E71" s="223" t="s">
        <v>479</v>
      </c>
      <c r="F71" s="223" t="s">
        <v>480</v>
      </c>
      <c r="G71" s="223" t="s">
        <v>481</v>
      </c>
      <c r="H71" s="223" t="s">
        <v>482</v>
      </c>
    </row>
    <row r="72" spans="1:8" ht="15" customHeight="1" thickBot="1">
      <c r="A72" s="106" t="s">
        <v>483</v>
      </c>
      <c r="B72" s="158">
        <v>1</v>
      </c>
      <c r="C72" s="158"/>
      <c r="D72" s="224"/>
      <c r="E72" s="224"/>
      <c r="F72" s="158"/>
      <c r="G72" s="158"/>
      <c r="H72" s="158"/>
    </row>
    <row r="73" spans="1:8" ht="15.75" thickBot="1">
      <c r="A73" s="107" t="s">
        <v>484</v>
      </c>
      <c r="B73" s="156">
        <v>0.75</v>
      </c>
      <c r="C73" s="156">
        <v>1</v>
      </c>
      <c r="D73" s="225"/>
      <c r="E73" s="225"/>
      <c r="F73" s="156"/>
      <c r="G73" s="156"/>
      <c r="H73" s="156"/>
    </row>
    <row r="74" spans="1:8" ht="15.75" thickBot="1">
      <c r="A74" s="106" t="s">
        <v>485</v>
      </c>
      <c r="B74" s="158">
        <v>0.75</v>
      </c>
      <c r="C74" s="158">
        <v>0.75</v>
      </c>
      <c r="D74" s="158">
        <v>1</v>
      </c>
      <c r="E74" s="224"/>
      <c r="F74" s="158"/>
      <c r="G74" s="158"/>
      <c r="H74" s="158"/>
    </row>
    <row r="75" spans="1:8" ht="15.75" thickBot="1">
      <c r="A75" s="107" t="s">
        <v>486</v>
      </c>
      <c r="B75" s="156">
        <v>0.25</v>
      </c>
      <c r="C75" s="156">
        <v>0</v>
      </c>
      <c r="D75" s="156">
        <v>0</v>
      </c>
      <c r="E75" s="156">
        <v>1</v>
      </c>
      <c r="F75" s="156"/>
      <c r="G75" s="156"/>
      <c r="H75" s="156"/>
    </row>
    <row r="76" spans="1:8" ht="15.75" thickBot="1">
      <c r="A76" s="106" t="s">
        <v>487</v>
      </c>
      <c r="B76" s="158">
        <v>-0.5</v>
      </c>
      <c r="C76" s="158">
        <v>-0.5</v>
      </c>
      <c r="D76" s="158">
        <v>-0.5</v>
      </c>
      <c r="E76" s="158">
        <v>0</v>
      </c>
      <c r="F76" s="158">
        <v>1</v>
      </c>
      <c r="G76" s="224"/>
      <c r="H76" s="224"/>
    </row>
    <row r="77" spans="1:8" ht="15.75" thickBot="1">
      <c r="A77" s="107" t="s">
        <v>488</v>
      </c>
      <c r="B77" s="156">
        <v>0</v>
      </c>
      <c r="C77" s="156">
        <v>0</v>
      </c>
      <c r="D77" s="156">
        <v>0</v>
      </c>
      <c r="E77" s="156">
        <v>0</v>
      </c>
      <c r="F77" s="156">
        <v>0</v>
      </c>
      <c r="G77" s="156">
        <v>1</v>
      </c>
      <c r="H77" s="225"/>
    </row>
    <row r="78" spans="1:8" ht="15.75" thickBot="1">
      <c r="A78" s="108" t="s">
        <v>489</v>
      </c>
      <c r="B78" s="226">
        <v>0.125</v>
      </c>
      <c r="C78" s="226">
        <v>0.25</v>
      </c>
      <c r="D78" s="226">
        <v>0.25</v>
      </c>
      <c r="E78" s="226">
        <v>0.25</v>
      </c>
      <c r="F78" s="226">
        <v>0.25</v>
      </c>
      <c r="G78" s="226">
        <v>0.25</v>
      </c>
      <c r="H78" s="226">
        <v>1</v>
      </c>
    </row>
  </sheetData>
  <pageMargins left="0.7" right="0.7" top="0.75" bottom="0.75" header="0.3" footer="0.3"/>
  <pageSetup orientation="portrait" verticalDpi="9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FC855A-F717-464A-8646-DA1869B3220C}">
  <sheetPr codeName="Sheet4">
    <tabColor rgb="FF0070C0"/>
  </sheetPr>
  <dimension ref="A1:K38"/>
  <sheetViews>
    <sheetView showGridLines="0" workbookViewId="0"/>
  </sheetViews>
  <sheetFormatPr defaultRowHeight="15"/>
  <cols>
    <col min="1" max="1" width="38.5703125" bestFit="1" customWidth="1"/>
    <col min="2" max="2" width="16.42578125" bestFit="1" customWidth="1"/>
    <col min="3" max="3" width="18.5703125" bestFit="1" customWidth="1"/>
    <col min="4" max="5" width="15.42578125" customWidth="1"/>
    <col min="6" max="6" width="12.5703125" customWidth="1"/>
    <col min="7" max="7" width="14.5703125" customWidth="1"/>
    <col min="8" max="9" width="13.85546875" customWidth="1"/>
    <col min="10" max="10" width="14.42578125" bestFit="1" customWidth="1"/>
    <col min="11" max="12" width="13.140625" bestFit="1" customWidth="1"/>
    <col min="13" max="13" width="9.85546875" bestFit="1" customWidth="1"/>
  </cols>
  <sheetData>
    <row r="1" spans="1:11">
      <c r="A1" s="3" t="s">
        <v>448</v>
      </c>
      <c r="D1" s="4"/>
      <c r="E1" s="4"/>
      <c r="F1" s="4"/>
      <c r="G1" s="4"/>
      <c r="H1" s="4"/>
      <c r="I1" s="4"/>
      <c r="J1" s="4"/>
      <c r="K1" s="4"/>
    </row>
    <row r="2" spans="1:11">
      <c r="A2" s="1" t="s">
        <v>512</v>
      </c>
    </row>
    <row r="3" spans="1:11" ht="15.75" thickBot="1">
      <c r="A3" s="5" t="s">
        <v>159</v>
      </c>
      <c r="B3" s="6"/>
      <c r="C3" s="6"/>
      <c r="D3" s="6"/>
      <c r="E3" s="6"/>
      <c r="F3" s="6"/>
      <c r="G3" s="6"/>
      <c r="H3" s="6"/>
      <c r="I3" s="6"/>
      <c r="J3" s="6"/>
      <c r="K3" s="6"/>
    </row>
    <row r="4" spans="1:11">
      <c r="A4" s="4"/>
      <c r="B4" s="4"/>
    </row>
    <row r="6" spans="1:11">
      <c r="A6" s="144" t="s">
        <v>557</v>
      </c>
    </row>
    <row r="7" spans="1:11">
      <c r="A7" s="144" t="s">
        <v>556</v>
      </c>
    </row>
    <row r="8" spans="1:11">
      <c r="A8" s="144" t="s">
        <v>554</v>
      </c>
    </row>
    <row r="9" spans="1:11">
      <c r="A9" s="144" t="s">
        <v>555</v>
      </c>
    </row>
    <row r="10" spans="1:11">
      <c r="A10" s="144" t="s">
        <v>574</v>
      </c>
    </row>
    <row r="12" spans="1:11">
      <c r="A12" s="144" t="s">
        <v>160</v>
      </c>
      <c r="B12" s="322">
        <v>0</v>
      </c>
      <c r="C12" s="144" t="s">
        <v>573</v>
      </c>
      <c r="G12" s="356" t="s">
        <v>571</v>
      </c>
      <c r="H12" s="356"/>
      <c r="I12" s="356"/>
      <c r="J12" s="356"/>
    </row>
    <row r="13" spans="1:11" ht="26.45" customHeight="1">
      <c r="G13" s="356"/>
      <c r="H13" s="356"/>
      <c r="I13" s="356"/>
      <c r="J13" s="356"/>
    </row>
    <row r="14" spans="1:11" ht="15.75" thickBot="1">
      <c r="A14" s="1" t="s">
        <v>18</v>
      </c>
      <c r="B14" s="1" t="s">
        <v>86</v>
      </c>
      <c r="C14" s="1"/>
      <c r="D14" s="1"/>
      <c r="E14" s="1"/>
      <c r="F14" s="1"/>
      <c r="G14" s="1"/>
      <c r="H14" s="1" t="s">
        <v>161</v>
      </c>
    </row>
    <row r="15" spans="1:11" ht="24.75" thickBot="1">
      <c r="A15" s="105"/>
      <c r="B15" s="104" t="s">
        <v>162</v>
      </c>
      <c r="C15" s="105" t="s">
        <v>163</v>
      </c>
      <c r="D15" s="105" t="s">
        <v>164</v>
      </c>
      <c r="E15" s="140" t="s">
        <v>521</v>
      </c>
      <c r="G15" s="104" t="s">
        <v>165</v>
      </c>
      <c r="H15" s="104" t="s">
        <v>162</v>
      </c>
      <c r="I15" s="105" t="s">
        <v>163</v>
      </c>
      <c r="J15" s="105" t="s">
        <v>164</v>
      </c>
    </row>
    <row r="16" spans="1:11" ht="15.75" thickBot="1">
      <c r="A16" s="136" t="s">
        <v>166</v>
      </c>
      <c r="B16" s="291">
        <v>7000000</v>
      </c>
      <c r="C16" s="126">
        <f>B16*E16</f>
        <v>7525000</v>
      </c>
      <c r="D16" s="307">
        <v>5</v>
      </c>
      <c r="E16" s="309">
        <v>1.075</v>
      </c>
      <c r="G16" s="321">
        <v>0.1</v>
      </c>
      <c r="H16" s="126">
        <f t="shared" ref="H16:H21" si="0">G16*$B$22</f>
        <v>1820000</v>
      </c>
      <c r="I16" s="126">
        <f>H16*E16</f>
        <v>1956500</v>
      </c>
      <c r="J16" s="307">
        <f t="shared" ref="J16:J21" si="1">D16</f>
        <v>5</v>
      </c>
    </row>
    <row r="17" spans="1:10" ht="15.75" thickBot="1">
      <c r="A17" s="137" t="s">
        <v>167</v>
      </c>
      <c r="B17" s="291">
        <v>7000000</v>
      </c>
      <c r="C17" s="127">
        <f t="shared" ref="C17:C21" si="2">B17*E17</f>
        <v>7525000</v>
      </c>
      <c r="D17" s="308">
        <v>20</v>
      </c>
      <c r="E17" s="309">
        <v>1.075</v>
      </c>
      <c r="G17" s="321">
        <v>0.1</v>
      </c>
      <c r="H17" s="127">
        <f t="shared" si="0"/>
        <v>1820000</v>
      </c>
      <c r="I17" s="127">
        <f t="shared" ref="I17:I21" si="3">H17*E17</f>
        <v>1956500</v>
      </c>
      <c r="J17" s="308">
        <f t="shared" si="1"/>
        <v>20</v>
      </c>
    </row>
    <row r="18" spans="1:10" ht="15.75" thickBot="1">
      <c r="A18" s="136" t="s">
        <v>22</v>
      </c>
      <c r="B18" s="291">
        <v>2500000</v>
      </c>
      <c r="C18" s="126">
        <f t="shared" si="2"/>
        <v>2500000</v>
      </c>
      <c r="D18" s="308">
        <v>10</v>
      </c>
      <c r="E18" s="309">
        <v>1</v>
      </c>
      <c r="G18" s="321">
        <v>0.2</v>
      </c>
      <c r="H18" s="126">
        <f t="shared" si="0"/>
        <v>3640000</v>
      </c>
      <c r="I18" s="126">
        <f t="shared" si="3"/>
        <v>3640000</v>
      </c>
      <c r="J18" s="308">
        <f t="shared" si="1"/>
        <v>10</v>
      </c>
    </row>
    <row r="19" spans="1:10" ht="15.75" thickBot="1">
      <c r="A19" s="137" t="s">
        <v>24</v>
      </c>
      <c r="B19" s="291">
        <v>1000000</v>
      </c>
      <c r="C19" s="127">
        <f t="shared" si="2"/>
        <v>1000000</v>
      </c>
      <c r="D19" s="308" t="s">
        <v>73</v>
      </c>
      <c r="E19" s="309">
        <v>1</v>
      </c>
      <c r="F19" s="144" t="s">
        <v>168</v>
      </c>
      <c r="G19" s="321">
        <v>0.2</v>
      </c>
      <c r="H19" s="127">
        <f t="shared" si="0"/>
        <v>3640000</v>
      </c>
      <c r="I19" s="127">
        <f t="shared" si="3"/>
        <v>3640000</v>
      </c>
      <c r="J19" s="308" t="str">
        <f t="shared" si="1"/>
        <v>-</v>
      </c>
    </row>
    <row r="20" spans="1:10" ht="15.75" thickBot="1">
      <c r="A20" s="136" t="s">
        <v>169</v>
      </c>
      <c r="B20" s="291">
        <v>500000</v>
      </c>
      <c r="C20" s="126">
        <f t="shared" si="2"/>
        <v>500000</v>
      </c>
      <c r="D20" s="308" t="s">
        <v>73</v>
      </c>
      <c r="E20" s="309">
        <v>1</v>
      </c>
      <c r="G20" s="321">
        <v>0.2</v>
      </c>
      <c r="H20" s="126">
        <f t="shared" si="0"/>
        <v>3640000</v>
      </c>
      <c r="I20" s="126">
        <f t="shared" si="3"/>
        <v>3640000</v>
      </c>
      <c r="J20" s="308" t="str">
        <f t="shared" si="1"/>
        <v>-</v>
      </c>
    </row>
    <row r="21" spans="1:10" ht="15.75" thickBot="1">
      <c r="A21" s="137" t="s">
        <v>170</v>
      </c>
      <c r="B21" s="291">
        <v>200000</v>
      </c>
      <c r="C21" s="127">
        <f t="shared" si="2"/>
        <v>200000</v>
      </c>
      <c r="D21" s="308" t="s">
        <v>73</v>
      </c>
      <c r="E21" s="309">
        <v>1</v>
      </c>
      <c r="G21" s="321">
        <v>0.2</v>
      </c>
      <c r="H21" s="127">
        <f t="shared" si="0"/>
        <v>3640000</v>
      </c>
      <c r="I21" s="127">
        <f t="shared" si="3"/>
        <v>3640000</v>
      </c>
      <c r="J21" s="308" t="str">
        <f t="shared" si="1"/>
        <v>-</v>
      </c>
    </row>
    <row r="22" spans="1:10" ht="15.75" thickBot="1">
      <c r="A22" s="138" t="s">
        <v>34</v>
      </c>
      <c r="B22" s="135">
        <f>SUM(B16:B21)</f>
        <v>18200000</v>
      </c>
      <c r="C22" s="135">
        <f>SUM(C16:C21)</f>
        <v>19250000</v>
      </c>
      <c r="D22" s="134" t="s">
        <v>73</v>
      </c>
      <c r="E22" s="139"/>
      <c r="G22" s="139">
        <f>SUM(G16:G21)</f>
        <v>1</v>
      </c>
      <c r="H22" s="135">
        <f>SUM(H16:H21)</f>
        <v>18200000</v>
      </c>
      <c r="I22" s="135">
        <f>SUM(I16:I21)</f>
        <v>18473000</v>
      </c>
      <c r="J22" s="134"/>
    </row>
    <row r="25" spans="1:10">
      <c r="A25" s="1" t="s">
        <v>47</v>
      </c>
      <c r="D25" s="20"/>
      <c r="E25" s="20"/>
      <c r="F25" s="56"/>
      <c r="G25" s="56"/>
      <c r="I25" s="56"/>
    </row>
    <row r="26" spans="1:10">
      <c r="A26" s="144" t="s">
        <v>58</v>
      </c>
      <c r="B26" s="313">
        <v>0.05</v>
      </c>
      <c r="C26" s="144" t="s">
        <v>576</v>
      </c>
      <c r="G26" s="70"/>
    </row>
    <row r="27" spans="1:10">
      <c r="A27" s="144" t="s">
        <v>171</v>
      </c>
      <c r="B27" s="313">
        <v>0.02</v>
      </c>
      <c r="C27" s="144" t="s">
        <v>572</v>
      </c>
      <c r="G27" s="70"/>
    </row>
    <row r="28" spans="1:10">
      <c r="A28" s="144" t="s">
        <v>172</v>
      </c>
      <c r="B28" s="310">
        <f>B26+B27</f>
        <v>7.0000000000000007E-2</v>
      </c>
      <c r="G28" s="70"/>
    </row>
    <row r="29" spans="1:10" ht="15.75" thickBot="1">
      <c r="A29" s="311" t="s">
        <v>173</v>
      </c>
      <c r="B29" s="312">
        <f>B26-B27</f>
        <v>3.0000000000000002E-2</v>
      </c>
      <c r="I29" s="8"/>
    </row>
    <row r="30" spans="1:10" ht="15.75" thickBot="1">
      <c r="A30" s="143"/>
      <c r="B30" s="353" t="s">
        <v>86</v>
      </c>
      <c r="C30" s="354"/>
      <c r="D30" s="354"/>
      <c r="E30" s="355"/>
      <c r="F30" s="353" t="s">
        <v>161</v>
      </c>
      <c r="G30" s="354"/>
      <c r="H30" s="354"/>
      <c r="I30" s="355"/>
    </row>
    <row r="31" spans="1:10" ht="15.75" thickBot="1">
      <c r="A31" s="142"/>
      <c r="B31" s="104" t="s">
        <v>166</v>
      </c>
      <c r="C31" s="104" t="s">
        <v>167</v>
      </c>
      <c r="D31" s="104" t="s">
        <v>22</v>
      </c>
      <c r="E31" s="104" t="s">
        <v>34</v>
      </c>
      <c r="F31" s="104" t="s">
        <v>166</v>
      </c>
      <c r="G31" s="104" t="s">
        <v>167</v>
      </c>
      <c r="H31" s="104" t="s">
        <v>22</v>
      </c>
      <c r="I31" s="104" t="s">
        <v>34</v>
      </c>
    </row>
    <row r="32" spans="1:10" ht="15.75" thickBot="1">
      <c r="A32" s="136" t="s">
        <v>174</v>
      </c>
      <c r="B32" s="126">
        <f>C16/(1+B$26)^D16*(1+B28)^D16</f>
        <v>8269493.255738778</v>
      </c>
      <c r="C32" s="126">
        <f>C17/(1+B$26)^D17*(1+B28)^D17</f>
        <v>10974786.404009463</v>
      </c>
      <c r="D32" s="126">
        <f>C18/(1+B$26)^D18*(1+B$28)^D18</f>
        <v>3019150.724901895</v>
      </c>
      <c r="E32" s="126"/>
      <c r="F32" s="126">
        <f>I16/(1+B26)^J16*(1+B28)^J16</f>
        <v>2150068.2464920823</v>
      </c>
      <c r="G32" s="126">
        <f>I17/(1+B26)^J17*(1+B28)^J17</f>
        <v>2853444.4650424602</v>
      </c>
      <c r="H32" s="126">
        <f>I18/(1+B26)^J18*(1+B28)^J18</f>
        <v>4395883.4554571593</v>
      </c>
      <c r="I32" s="126"/>
    </row>
    <row r="33" spans="1:10" ht="15.75" thickBot="1">
      <c r="A33" s="137" t="s">
        <v>175</v>
      </c>
      <c r="B33" s="127">
        <f>VLOOKUP($D16,'2a.iii Inputs - Europe Factors'!$B23:$D37,2)</f>
        <v>0.55000000000000004</v>
      </c>
      <c r="C33" s="127">
        <f>VLOOKUP($D17,'2a.iii Inputs - Europe Factors'!$B24:$D38,2)</f>
        <v>0.26</v>
      </c>
      <c r="D33" s="127">
        <f>VLOOKUP($D18,'2a.iii Inputs - Europe Factors'!$B25:$D59,2)</f>
        <v>0</v>
      </c>
      <c r="E33" s="127"/>
      <c r="F33" s="127">
        <f>VLOOKUP($J16,'2a.iii Inputs - Europe Factors'!$B23:$D37,2)</f>
        <v>0.55000000000000004</v>
      </c>
      <c r="G33" s="127">
        <f>VLOOKUP($J17,'2a.iii Inputs - Europe Factors'!$B24:$D38,2)</f>
        <v>0.26</v>
      </c>
      <c r="H33" s="127">
        <f>VLOOKUP($J18,'2a.iii Inputs - Europe Factors'!$B25:$D59,2)</f>
        <v>0</v>
      </c>
      <c r="I33" s="127"/>
    </row>
    <row r="34" spans="1:10" ht="15.75" thickBot="1">
      <c r="A34" s="136" t="s">
        <v>176</v>
      </c>
      <c r="B34" s="126">
        <f>(B32-$C$16)*B33</f>
        <v>409471.29065632797</v>
      </c>
      <c r="C34" s="126">
        <f>(C32-$C$17)*C33</f>
        <v>896944.46504246048</v>
      </c>
      <c r="D34" s="126">
        <f>(D32-C18)*D33</f>
        <v>0</v>
      </c>
      <c r="E34" s="126">
        <f>SUM(B34:D34)</f>
        <v>1306415.7556987884</v>
      </c>
      <c r="F34" s="126">
        <f>(F32-I16)*F33</f>
        <v>106462.53557064525</v>
      </c>
      <c r="G34" s="126">
        <f>(G32-I17)*G33</f>
        <v>233205.56091103968</v>
      </c>
      <c r="H34" s="126">
        <f>(H32-I18)*H33</f>
        <v>0</v>
      </c>
      <c r="I34" s="126">
        <f>SUM(F34:H34)</f>
        <v>339668.09648168494</v>
      </c>
    </row>
    <row r="35" spans="1:10" ht="15.75" thickBot="1">
      <c r="A35" s="137" t="s">
        <v>177</v>
      </c>
      <c r="B35" s="127">
        <f>C16/(1+B$26)^D16*(1+B$29)^D16</f>
        <v>6835119.8242021911</v>
      </c>
      <c r="C35" s="127">
        <f>C17/(1+B$26)^D17*(1+B$29)^D17</f>
        <v>5122300.0775736803</v>
      </c>
      <c r="D35" s="127">
        <f>C18/(1+B$26)^D18*(1+B$29)^D18</f>
        <v>2062620.1923246679</v>
      </c>
      <c r="E35" s="127"/>
      <c r="F35" s="127">
        <f>I16/(1+B26)^J16*(1+B29)^J16</f>
        <v>1777131.1542925697</v>
      </c>
      <c r="G35" s="127">
        <f>I17/(1+B26)^J17*(1+B29)^J17</f>
        <v>1331798.0201691568</v>
      </c>
      <c r="H35" s="127">
        <f>I18/(1+B26)^J18*(1+B29)^J18</f>
        <v>3003175.0000247164</v>
      </c>
      <c r="I35" s="127"/>
    </row>
    <row r="36" spans="1:10" ht="15.75" thickBot="1">
      <c r="A36" s="136" t="s">
        <v>178</v>
      </c>
      <c r="B36" s="126">
        <f>VLOOKUP($D16,'2a.iii Inputs - Europe Factors'!$B23:$D37,3)</f>
        <v>0.46</v>
      </c>
      <c r="C36" s="126">
        <f>VLOOKUP($D17,'2a.iii Inputs - Europe Factors'!$B24:$D38,3)</f>
        <v>0.28999999999999998</v>
      </c>
      <c r="D36" s="126">
        <f>VLOOKUP($D18,'2a.iii Inputs - Europe Factors'!$B25:$D59,3)</f>
        <v>0.25</v>
      </c>
      <c r="E36" s="126"/>
      <c r="F36" s="126">
        <f>VLOOKUP($J16,'2a.iii Inputs - Europe Factors'!$B23:$D37,3)</f>
        <v>0.46</v>
      </c>
      <c r="G36" s="126">
        <f>VLOOKUP($J17,'2a.iii Inputs - Europe Factors'!$B24:$D38,3)</f>
        <v>0.28999999999999998</v>
      </c>
      <c r="H36" s="126">
        <f>VLOOKUP($J18,'2a.iii Inputs - Europe Factors'!$B25:$D59,3)</f>
        <v>0.25</v>
      </c>
      <c r="I36" s="126"/>
    </row>
    <row r="37" spans="1:10" ht="15.75" thickBot="1">
      <c r="A37" s="137" t="s">
        <v>179</v>
      </c>
      <c r="B37" s="127">
        <f>(B35-$C$16)*B36</f>
        <v>-317344.88086699211</v>
      </c>
      <c r="C37" s="127">
        <f>(C35-$C$17)*C36</f>
        <v>-696782.97750363266</v>
      </c>
      <c r="D37" s="127">
        <f>(D35-C18)*D36</f>
        <v>-109344.95191883302</v>
      </c>
      <c r="E37" s="127">
        <f>SUM(B37:D37)</f>
        <v>-1123472.8102894577</v>
      </c>
      <c r="F37" s="127">
        <f>(F35-$I$16)*F36</f>
        <v>-82509.669025417927</v>
      </c>
      <c r="G37" s="127">
        <f>(G35-$I$17)*G36</f>
        <v>-181163.57415094451</v>
      </c>
      <c r="H37" s="127">
        <f>(H35-I18)*H36</f>
        <v>-159206.24999382091</v>
      </c>
      <c r="I37" s="127">
        <f>SUM(F37:H37)</f>
        <v>-422879.49317018333</v>
      </c>
      <c r="J37" s="141"/>
    </row>
    <row r="38" spans="1:10">
      <c r="G38" s="8"/>
      <c r="H38" s="8"/>
      <c r="I38" s="8"/>
      <c r="J38" s="8"/>
    </row>
  </sheetData>
  <protectedRanges>
    <protectedRange algorithmName="SHA-512" hashValue="nwPRKlfLdYUUzOSQ/fdh0GPodlcp+t0nLWmsZnIIhJuo/7OT19R2+1B44q2e62zkcIDPz5OkZ7U2t6SlSAljQQ==" saltValue="EW7xdRrMSsseP1jXZMWRCg==" spinCount="100000" sqref="B16:B21 D16:E21 G16:G21 J16:J21 B26:B27" name="Assets"/>
  </protectedRanges>
  <mergeCells count="3">
    <mergeCell ref="F30:I30"/>
    <mergeCell ref="B30:E30"/>
    <mergeCell ref="G12:J13"/>
  </mergeCells>
  <pageMargins left="0.7" right="0.7" top="0.75" bottom="0.75" header="0.3" footer="0.3"/>
  <pageSetup orientation="portrait" verticalDpi="9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ADB10D-DDF5-4F07-A4F4-3FE452AE188B}">
  <sheetPr codeName="Sheet5">
    <tabColor rgb="FF0070C0"/>
  </sheetPr>
  <dimension ref="A1:O38"/>
  <sheetViews>
    <sheetView showGridLines="0" zoomScale="85" zoomScaleNormal="85" workbookViewId="0"/>
  </sheetViews>
  <sheetFormatPr defaultRowHeight="15"/>
  <cols>
    <col min="1" max="1" width="35" bestFit="1" customWidth="1"/>
    <col min="2" max="2" width="17.5703125" bestFit="1" customWidth="1"/>
    <col min="3" max="3" width="12.7109375" bestFit="1" customWidth="1"/>
    <col min="4" max="4" width="18.5703125" bestFit="1" customWidth="1"/>
    <col min="5" max="5" width="13.28515625" customWidth="1"/>
    <col min="6" max="6" width="19.7109375" bestFit="1" customWidth="1"/>
    <col min="7" max="7" width="17.140625" bestFit="1" customWidth="1"/>
    <col min="8" max="8" width="12" bestFit="1" customWidth="1"/>
    <col min="9" max="9" width="18" bestFit="1" customWidth="1"/>
    <col min="10" max="10" width="15" bestFit="1" customWidth="1"/>
    <col min="11" max="11" width="17.42578125" bestFit="1" customWidth="1"/>
    <col min="12" max="12" width="14.28515625" bestFit="1" customWidth="1"/>
    <col min="13" max="13" width="12.5703125" customWidth="1"/>
  </cols>
  <sheetData>
    <row r="1" spans="1:15">
      <c r="A1" s="3" t="s">
        <v>448</v>
      </c>
      <c r="F1" s="4"/>
      <c r="G1" s="4"/>
      <c r="H1" s="4"/>
      <c r="I1" s="4"/>
      <c r="J1" s="4"/>
      <c r="K1" s="4"/>
      <c r="L1" s="4"/>
      <c r="M1" s="4"/>
      <c r="N1" s="4"/>
      <c r="O1" s="4"/>
    </row>
    <row r="2" spans="1:15">
      <c r="A2" s="1" t="s">
        <v>512</v>
      </c>
    </row>
    <row r="3" spans="1:15" ht="15.75" thickBot="1">
      <c r="A3" s="5" t="s">
        <v>180</v>
      </c>
      <c r="B3" s="6"/>
      <c r="C3" s="6"/>
      <c r="D3" s="6"/>
      <c r="E3" s="6"/>
      <c r="F3" s="6"/>
      <c r="G3" s="6"/>
      <c r="H3" s="6"/>
      <c r="I3" s="6"/>
      <c r="J3" s="6"/>
      <c r="K3" s="6"/>
      <c r="L3" s="6"/>
      <c r="M3" s="6"/>
      <c r="N3" s="6"/>
      <c r="O3" s="6"/>
    </row>
    <row r="4" spans="1:15">
      <c r="A4" s="4"/>
      <c r="B4" s="4"/>
      <c r="C4" s="4"/>
      <c r="D4" s="4"/>
    </row>
    <row r="6" spans="1:15">
      <c r="A6" s="144" t="s">
        <v>550</v>
      </c>
    </row>
    <row r="7" spans="1:15">
      <c r="A7" s="144" t="s">
        <v>551</v>
      </c>
    </row>
    <row r="8" spans="1:15">
      <c r="A8" s="144" t="s">
        <v>553</v>
      </c>
    </row>
    <row r="9" spans="1:15">
      <c r="A9" s="144" t="s">
        <v>552</v>
      </c>
    </row>
    <row r="10" spans="1:15">
      <c r="A10" s="144"/>
    </row>
    <row r="11" spans="1:15">
      <c r="A11" s="154" t="s">
        <v>580</v>
      </c>
    </row>
    <row r="12" spans="1:15">
      <c r="A12" s="144" t="s">
        <v>577</v>
      </c>
    </row>
    <row r="13" spans="1:15">
      <c r="A13" s="144" t="s">
        <v>579</v>
      </c>
    </row>
    <row r="14" spans="1:15">
      <c r="A14" s="144" t="s">
        <v>581</v>
      </c>
    </row>
    <row r="15" spans="1:15">
      <c r="A15" s="144" t="s">
        <v>582</v>
      </c>
    </row>
    <row r="17" spans="1:14" s="1" customFormat="1" ht="15.75" thickBot="1">
      <c r="A17" s="1" t="s">
        <v>86</v>
      </c>
      <c r="J17" s="21"/>
    </row>
    <row r="18" spans="1:14" s="1" customFormat="1" ht="24.75" thickBot="1">
      <c r="A18" s="104" t="s">
        <v>27</v>
      </c>
      <c r="B18" s="105" t="s">
        <v>28</v>
      </c>
      <c r="C18" s="105" t="s">
        <v>563</v>
      </c>
      <c r="D18" s="105" t="s">
        <v>564</v>
      </c>
      <c r="E18" s="104" t="s">
        <v>181</v>
      </c>
      <c r="F18" s="105" t="s">
        <v>182</v>
      </c>
      <c r="G18" s="104" t="s">
        <v>578</v>
      </c>
      <c r="H18" s="105" t="s">
        <v>549</v>
      </c>
      <c r="I18" s="104" t="s">
        <v>183</v>
      </c>
      <c r="J18" s="105" t="s">
        <v>626</v>
      </c>
      <c r="K18" s="104" t="s">
        <v>185</v>
      </c>
      <c r="L18" s="105" t="s">
        <v>163</v>
      </c>
    </row>
    <row r="19" spans="1:14" ht="15.75" thickBot="1">
      <c r="A19" s="106" t="s">
        <v>30</v>
      </c>
      <c r="B19" s="109" t="s">
        <v>31</v>
      </c>
      <c r="C19" s="323">
        <v>30</v>
      </c>
      <c r="D19" s="323">
        <v>10</v>
      </c>
      <c r="E19" s="307">
        <v>50</v>
      </c>
      <c r="F19" s="316">
        <v>175000000</v>
      </c>
      <c r="G19" s="317">
        <v>1.1499999999999999</v>
      </c>
      <c r="H19" s="124">
        <f>G19*L19</f>
        <v>7118016.2981826365</v>
      </c>
      <c r="I19" s="124">
        <v>0</v>
      </c>
      <c r="J19" s="124">
        <f>F19*B36</f>
        <v>609546.18375651143</v>
      </c>
      <c r="K19" s="124">
        <f>F19-H19</f>
        <v>167881983.70181736</v>
      </c>
      <c r="L19" s="124">
        <f>B38*F19</f>
        <v>6189579.389724032</v>
      </c>
      <c r="M19" s="8"/>
    </row>
    <row r="20" spans="1:14" ht="15.75" thickBot="1">
      <c r="A20" s="107" t="s">
        <v>32</v>
      </c>
      <c r="B20" s="110" t="s">
        <v>33</v>
      </c>
      <c r="C20" s="324" t="s">
        <v>130</v>
      </c>
      <c r="D20" s="324" t="s">
        <v>130</v>
      </c>
      <c r="E20" s="308">
        <v>70</v>
      </c>
      <c r="F20" s="316">
        <v>7500000</v>
      </c>
      <c r="G20" s="318">
        <v>0.95</v>
      </c>
      <c r="H20" s="125">
        <f>G20*F20</f>
        <v>7125000</v>
      </c>
      <c r="I20" s="125">
        <v>0</v>
      </c>
      <c r="J20" s="125">
        <v>1000000</v>
      </c>
      <c r="K20" s="235" t="s">
        <v>130</v>
      </c>
      <c r="L20" s="125">
        <f>F20</f>
        <v>7500000</v>
      </c>
      <c r="M20" s="8"/>
    </row>
    <row r="21" spans="1:14" ht="15.75" thickBot="1">
      <c r="A21" s="132" t="s">
        <v>34</v>
      </c>
      <c r="B21" s="133"/>
      <c r="C21" s="133"/>
      <c r="D21" s="133"/>
      <c r="E21" s="132"/>
      <c r="F21" s="134">
        <f t="shared" ref="F21" si="0">SUM(F19:F20)</f>
        <v>182500000</v>
      </c>
      <c r="G21" s="132"/>
      <c r="H21" s="134">
        <f t="shared" ref="H21:L21" si="1">SUM(H19:H20)</f>
        <v>14243016.298182636</v>
      </c>
      <c r="I21" s="134">
        <f t="shared" si="1"/>
        <v>0</v>
      </c>
      <c r="J21" s="134">
        <f t="shared" si="1"/>
        <v>1609546.1837565114</v>
      </c>
      <c r="K21" s="134">
        <f t="shared" si="1"/>
        <v>167881983.70181736</v>
      </c>
      <c r="L21" s="134">
        <f t="shared" si="1"/>
        <v>13689579.389724031</v>
      </c>
      <c r="M21" s="8"/>
    </row>
    <row r="23" spans="1:14">
      <c r="A23" s="11" t="s">
        <v>186</v>
      </c>
      <c r="B23" s="291">
        <v>50000</v>
      </c>
      <c r="C23" s="144" t="s">
        <v>584</v>
      </c>
      <c r="D23" s="7"/>
      <c r="E23" s="7"/>
    </row>
    <row r="24" spans="1:14">
      <c r="A24" s="11" t="s">
        <v>187</v>
      </c>
      <c r="B24" s="291">
        <v>30000</v>
      </c>
      <c r="C24" s="144" t="s">
        <v>584</v>
      </c>
      <c r="D24" s="7"/>
      <c r="E24" s="7"/>
    </row>
    <row r="25" spans="1:14">
      <c r="A25" s="11" t="s">
        <v>188</v>
      </c>
      <c r="B25" s="291">
        <v>0</v>
      </c>
      <c r="C25" s="144" t="s">
        <v>584</v>
      </c>
      <c r="D25" s="7"/>
      <c r="E25" s="7"/>
    </row>
    <row r="26" spans="1:14">
      <c r="A26" s="11" t="s">
        <v>189</v>
      </c>
      <c r="B26" s="291">
        <v>0</v>
      </c>
      <c r="C26" s="144" t="s">
        <v>584</v>
      </c>
      <c r="D26" s="7"/>
      <c r="E26" s="7"/>
    </row>
    <row r="27" spans="1:14">
      <c r="A27" s="1"/>
      <c r="B27" s="1"/>
      <c r="C27" s="1"/>
      <c r="D27" s="1"/>
      <c r="E27" s="1"/>
      <c r="I27" s="1"/>
      <c r="J27" s="45"/>
      <c r="K27" s="53"/>
      <c r="L27" s="44"/>
      <c r="M27" s="54"/>
    </row>
    <row r="28" spans="1:14" s="1" customFormat="1" ht="15.75" thickBot="1">
      <c r="A28" s="1" t="s">
        <v>190</v>
      </c>
      <c r="L28" s="21"/>
    </row>
    <row r="29" spans="1:14" s="1" customFormat="1" ht="24.75" thickBot="1">
      <c r="A29" s="104" t="s">
        <v>27</v>
      </c>
      <c r="B29" s="105" t="s">
        <v>28</v>
      </c>
      <c r="C29" s="105" t="str">
        <f>C18</f>
        <v>Level Term Period</v>
      </c>
      <c r="D29" s="105" t="str">
        <f t="shared" ref="D29:D31" si="2">D18</f>
        <v>Policy Duration</v>
      </c>
      <c r="E29" s="104" t="s">
        <v>181</v>
      </c>
      <c r="F29" s="105" t="s">
        <v>182</v>
      </c>
      <c r="G29" s="104" t="str">
        <f>G18</f>
        <v>Statutory Reserve % of Market Value</v>
      </c>
      <c r="H29" s="105" t="s">
        <v>549</v>
      </c>
      <c r="I29" s="104" t="s">
        <v>183</v>
      </c>
      <c r="J29" s="105" t="s">
        <v>626</v>
      </c>
      <c r="K29" s="104" t="s">
        <v>185</v>
      </c>
      <c r="L29" s="105" t="s">
        <v>163</v>
      </c>
      <c r="M29" s="104" t="s">
        <v>165</v>
      </c>
    </row>
    <row r="30" spans="1:14" ht="15.75" thickBot="1">
      <c r="A30" s="106" t="s">
        <v>30</v>
      </c>
      <c r="B30" s="109" t="s">
        <v>31</v>
      </c>
      <c r="C30" s="193">
        <f t="shared" ref="C30" si="3">C19</f>
        <v>30</v>
      </c>
      <c r="D30" s="193">
        <f t="shared" si="2"/>
        <v>10</v>
      </c>
      <c r="E30" s="319">
        <f>E19</f>
        <v>50</v>
      </c>
      <c r="F30" s="124">
        <f>H30/H19*F19</f>
        <v>87542924.452784374</v>
      </c>
      <c r="G30" s="128">
        <f>G19</f>
        <v>1.1499999999999999</v>
      </c>
      <c r="H30" s="124">
        <f>$H$21*$M30</f>
        <v>3560754.0745456591</v>
      </c>
      <c r="I30" s="124">
        <v>0</v>
      </c>
      <c r="J30" s="124">
        <f>F30*B36</f>
        <v>304922.60294331028</v>
      </c>
      <c r="K30" s="124">
        <f>F30-H30</f>
        <v>83982170.378238708</v>
      </c>
      <c r="L30" s="124">
        <f>H30/G30</f>
        <v>3096307.890909269</v>
      </c>
      <c r="M30" s="317">
        <v>0.25</v>
      </c>
      <c r="N30" s="46"/>
    </row>
    <row r="31" spans="1:14" ht="15.75" thickBot="1">
      <c r="A31" s="107" t="s">
        <v>32</v>
      </c>
      <c r="B31" s="110" t="s">
        <v>33</v>
      </c>
      <c r="C31" s="194" t="str">
        <f t="shared" ref="C31" si="4">C20</f>
        <v>N/A</v>
      </c>
      <c r="D31" s="194" t="str">
        <f t="shared" si="2"/>
        <v>N/A</v>
      </c>
      <c r="E31" s="320">
        <f>E20</f>
        <v>70</v>
      </c>
      <c r="F31" s="125">
        <f>H31/H20*F20</f>
        <v>11244486.551196817</v>
      </c>
      <c r="G31" s="129">
        <f t="shared" ref="G31" si="5">G20</f>
        <v>0.95</v>
      </c>
      <c r="H31" s="125">
        <f>$H$21*$M31</f>
        <v>10682262.223636977</v>
      </c>
      <c r="I31" s="125">
        <v>0</v>
      </c>
      <c r="J31" s="125">
        <f>J20*(F31/F20)</f>
        <v>1499264.8734929091</v>
      </c>
      <c r="K31" s="235" t="s">
        <v>130</v>
      </c>
      <c r="L31" s="125">
        <f>H31/G31</f>
        <v>11244486.551196819</v>
      </c>
      <c r="M31" s="318">
        <v>0.75</v>
      </c>
      <c r="N31" s="46"/>
    </row>
    <row r="32" spans="1:14" ht="15.75" thickBot="1">
      <c r="A32" s="132" t="s">
        <v>34</v>
      </c>
      <c r="B32" s="133"/>
      <c r="C32" s="133"/>
      <c r="D32" s="133"/>
      <c r="E32" s="132"/>
      <c r="F32" s="134">
        <f t="shared" ref="F32:L32" si="6">SUM(F30:F31)</f>
        <v>98787411.003981188</v>
      </c>
      <c r="G32" s="132"/>
      <c r="H32" s="134">
        <f t="shared" si="6"/>
        <v>14243016.298182636</v>
      </c>
      <c r="I32" s="134">
        <f t="shared" si="6"/>
        <v>0</v>
      </c>
      <c r="J32" s="134">
        <f t="shared" si="6"/>
        <v>1804187.4764362194</v>
      </c>
      <c r="K32" s="134">
        <f t="shared" si="6"/>
        <v>83982170.378238708</v>
      </c>
      <c r="L32" s="134">
        <f t="shared" si="6"/>
        <v>14340794.442106089</v>
      </c>
      <c r="M32" s="132"/>
    </row>
    <row r="33" spans="1:13">
      <c r="J33" s="31"/>
      <c r="K33" s="31"/>
      <c r="L33" s="31"/>
    </row>
    <row r="34" spans="1:13">
      <c r="A34" s="1" t="s">
        <v>47</v>
      </c>
      <c r="I34" s="19"/>
    </row>
    <row r="35" spans="1:13">
      <c r="A35" t="s">
        <v>58</v>
      </c>
      <c r="B35" s="336">
        <f>'2b. Inputs - Assets'!B26</f>
        <v>0.05</v>
      </c>
      <c r="C35" s="43"/>
      <c r="D35" s="43"/>
      <c r="E35" s="43"/>
      <c r="I35" s="22"/>
      <c r="J35" s="46"/>
    </row>
    <row r="36" spans="1:13">
      <c r="A36" t="s">
        <v>184</v>
      </c>
      <c r="B36" s="337" cm="1">
        <f t="array" ref="B36">termlife(0,E19-D19,C19,B35)/TermAnnuity(0,E19-D19,C19,B35)</f>
        <v>3.4831210500372079E-3</v>
      </c>
      <c r="C36" s="57"/>
      <c r="D36" s="57"/>
      <c r="E36" s="57"/>
      <c r="I36" s="22"/>
    </row>
    <row r="37" spans="1:13">
      <c r="A37" t="s">
        <v>33</v>
      </c>
      <c r="B37" s="337" cm="1">
        <f t="array" ref="B37">annuitycalc(0,E20,B35)</f>
        <v>11.814158435204391</v>
      </c>
      <c r="C37" s="67"/>
      <c r="I37" s="22"/>
      <c r="M37" s="46"/>
    </row>
    <row r="38" spans="1:13">
      <c r="A38" t="s">
        <v>191</v>
      </c>
      <c r="B38" s="337" cm="1">
        <f t="array" ref="B38">termlife(0,E19,C19-D19,B35)-B36*TermAnnuity(0,E19,C19-D19,B35)</f>
        <v>3.5369025084137327E-2</v>
      </c>
      <c r="C38" s="68"/>
      <c r="I38" s="22"/>
      <c r="M38" s="46"/>
    </row>
  </sheetData>
  <protectedRanges>
    <protectedRange algorithmName="SHA-512" hashValue="rMb/o1PamDauFx4q20cETyk3D1ESTHThHDWBcH8GqT9CCc23YqAxwoPS1t8osTWOCzQE8vlgI7ASQUg2qnL9WA==" saltValue="fL2cm93FInndGRBTDTxiHA==" spinCount="100000" sqref="E19:G20 M30:M31" name="Liabilities"/>
  </protectedRanges>
  <pageMargins left="0.7" right="0.7" top="0.75" bottom="0.75" header="0.3" footer="0.3"/>
  <pageSetup orientation="portrait" verticalDpi="9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622176-61E7-46E9-8DB7-329C1DB64AC7}">
  <sheetPr codeName="Sheet11">
    <tabColor rgb="FF0070C0"/>
  </sheetPr>
  <dimension ref="A1:N130"/>
  <sheetViews>
    <sheetView showGridLines="0" workbookViewId="0">
      <pane xSplit="1" ySplit="9" topLeftCell="B10" activePane="bottomRight" state="frozen"/>
      <selection pane="topRight"/>
      <selection pane="bottomLeft"/>
      <selection pane="bottomRight" activeCell="B10" sqref="B10"/>
    </sheetView>
  </sheetViews>
  <sheetFormatPr defaultRowHeight="15"/>
  <cols>
    <col min="1" max="1" width="21.140625" bestFit="1" customWidth="1"/>
    <col min="2" max="2" width="9.5703125" bestFit="1" customWidth="1"/>
    <col min="3" max="3" width="13.85546875" bestFit="1" customWidth="1"/>
    <col min="4" max="4" width="13.5703125" bestFit="1" customWidth="1"/>
    <col min="5" max="5" width="9.5703125" bestFit="1" customWidth="1"/>
    <col min="6" max="6" width="14.140625" bestFit="1" customWidth="1"/>
    <col min="7" max="7" width="9.42578125" bestFit="1" customWidth="1"/>
    <col min="8" max="8" width="6.85546875" bestFit="1" customWidth="1"/>
    <col min="9" max="9" width="8.5703125" bestFit="1" customWidth="1"/>
    <col min="10" max="10" width="10.140625" customWidth="1"/>
    <col min="11" max="11" width="12.85546875" bestFit="1" customWidth="1"/>
  </cols>
  <sheetData>
    <row r="1" spans="1:14">
      <c r="A1" s="3" t="s">
        <v>448</v>
      </c>
      <c r="B1" s="4"/>
      <c r="C1" s="4"/>
      <c r="D1" s="4"/>
      <c r="E1" s="4"/>
      <c r="F1" s="4"/>
      <c r="G1" s="4"/>
      <c r="H1" s="4"/>
      <c r="I1" s="4"/>
      <c r="J1" s="4"/>
      <c r="K1" s="4"/>
      <c r="L1" s="4"/>
      <c r="M1" s="4"/>
      <c r="N1" s="4"/>
    </row>
    <row r="2" spans="1:14">
      <c r="A2" s="1" t="s">
        <v>512</v>
      </c>
    </row>
    <row r="3" spans="1:14" ht="15.75" thickBot="1">
      <c r="A3" s="5" t="s">
        <v>375</v>
      </c>
      <c r="B3" s="6"/>
      <c r="C3" s="6"/>
      <c r="D3" s="6"/>
      <c r="E3" s="6"/>
      <c r="F3" s="6"/>
      <c r="G3" s="6"/>
      <c r="H3" s="6"/>
      <c r="I3" s="6"/>
      <c r="J3" s="6"/>
      <c r="K3" s="6"/>
      <c r="L3" s="6"/>
      <c r="M3" s="6"/>
      <c r="N3" s="6"/>
    </row>
    <row r="5" spans="1:14">
      <c r="A5" s="154" t="s">
        <v>376</v>
      </c>
      <c r="B5" s="144" t="s">
        <v>377</v>
      </c>
    </row>
    <row r="6" spans="1:14" ht="27" customHeight="1">
      <c r="A6" s="356" t="s">
        <v>585</v>
      </c>
      <c r="B6" s="356"/>
      <c r="C6" s="356"/>
      <c r="D6" s="356"/>
      <c r="E6" s="356"/>
      <c r="F6" s="356"/>
      <c r="G6" s="356"/>
      <c r="H6" s="356"/>
      <c r="I6" s="356"/>
      <c r="J6" s="356"/>
    </row>
    <row r="7" spans="1:14">
      <c r="A7" s="1"/>
    </row>
    <row r="8" spans="1:14">
      <c r="A8" t="s">
        <v>378</v>
      </c>
      <c r="C8" s="314">
        <v>0.15</v>
      </c>
      <c r="D8" s="314">
        <v>-0.2</v>
      </c>
    </row>
    <row r="9" spans="1:14">
      <c r="A9" s="72" t="s">
        <v>379</v>
      </c>
      <c r="B9" s="72" t="s">
        <v>76</v>
      </c>
      <c r="C9" s="72" t="s">
        <v>380</v>
      </c>
      <c r="D9" s="72" t="s">
        <v>381</v>
      </c>
      <c r="E9" s="72" t="s">
        <v>382</v>
      </c>
      <c r="F9" s="72" t="s">
        <v>383</v>
      </c>
      <c r="G9" s="72" t="s">
        <v>384</v>
      </c>
      <c r="H9" s="72" t="s">
        <v>385</v>
      </c>
      <c r="I9" s="72" t="s">
        <v>386</v>
      </c>
      <c r="J9" s="72" t="s">
        <v>387</v>
      </c>
    </row>
    <row r="10" spans="1:14" ht="15.75" thickBot="1">
      <c r="A10" s="147">
        <v>0</v>
      </c>
      <c r="B10" s="315">
        <v>6.4504999999999996E-3</v>
      </c>
      <c r="C10" s="238">
        <f>B10*(1+$C$8)</f>
        <v>7.4180749999999988E-3</v>
      </c>
      <c r="D10" s="242">
        <f>B10*(1+$D$8)</f>
        <v>5.1603999999999999E-3</v>
      </c>
      <c r="E10" s="237">
        <f>1-B10</f>
        <v>0.99354949999999997</v>
      </c>
      <c r="F10" s="242">
        <f>J10/G10</f>
        <v>82.420064895834173</v>
      </c>
      <c r="G10" s="124">
        <v>100000</v>
      </c>
      <c r="H10" s="126">
        <f t="shared" ref="H10:H73" si="0">G10*B10</f>
        <v>645.04999999999995</v>
      </c>
      <c r="I10" s="124">
        <f>G10-0.5*H10</f>
        <v>99677.475000000006</v>
      </c>
      <c r="J10" s="126">
        <f>SUM(I10:$I$130)</f>
        <v>8242006.4895834168</v>
      </c>
    </row>
    <row r="11" spans="1:14" ht="15.75" thickBot="1">
      <c r="A11" s="239">
        <v>1</v>
      </c>
      <c r="B11" s="315">
        <v>3.8549999999999999E-4</v>
      </c>
      <c r="C11" s="240">
        <f t="shared" ref="C11:C78" si="1">B11*(1+$C$8)</f>
        <v>4.4332499999999995E-4</v>
      </c>
      <c r="D11" s="243">
        <f t="shared" ref="D11:D78" si="2">B11*(1+$D$8)</f>
        <v>3.0840000000000002E-4</v>
      </c>
      <c r="E11" s="241">
        <f t="shared" ref="E11:E78" si="3">1-B11</f>
        <v>0.99961449999999996</v>
      </c>
      <c r="F11" s="243">
        <f t="shared" ref="F11:F78" si="4">J11/G11</f>
        <v>81.951921012324178</v>
      </c>
      <c r="G11" s="244">
        <f>G10-H10</f>
        <v>99354.95</v>
      </c>
      <c r="H11" s="245">
        <f t="shared" si="0"/>
        <v>38.301333225</v>
      </c>
      <c r="I11" s="244">
        <f t="shared" ref="I11:I78" si="5">G11-0.5*H11</f>
        <v>99335.799333387491</v>
      </c>
      <c r="J11" s="245">
        <f>SUM(I11:$I$130)</f>
        <v>8142329.0145834172</v>
      </c>
    </row>
    <row r="12" spans="1:14" ht="15.75" thickBot="1">
      <c r="A12" s="147">
        <v>2</v>
      </c>
      <c r="B12" s="315">
        <v>2.565E-4</v>
      </c>
      <c r="C12" s="238">
        <f t="shared" si="1"/>
        <v>2.94975E-4</v>
      </c>
      <c r="D12" s="242">
        <f t="shared" si="2"/>
        <v>2.052E-4</v>
      </c>
      <c r="E12" s="237">
        <f t="shared" si="3"/>
        <v>0.99974350000000001</v>
      </c>
      <c r="F12" s="242">
        <f t="shared" si="4"/>
        <v>80.983332837132878</v>
      </c>
      <c r="G12" s="124">
        <f t="shared" ref="G12:G75" si="6">G11-H11</f>
        <v>99316.648666775</v>
      </c>
      <c r="H12" s="126">
        <f t="shared" si="0"/>
        <v>25.474720383027787</v>
      </c>
      <c r="I12" s="124">
        <f t="shared" si="5"/>
        <v>99303.911306583483</v>
      </c>
      <c r="J12" s="126">
        <f>SUM(I12:$I$130)</f>
        <v>8042993.2152500292</v>
      </c>
    </row>
    <row r="13" spans="1:14" ht="15.75" thickBot="1">
      <c r="A13" s="239">
        <v>3</v>
      </c>
      <c r="B13" s="315">
        <v>2.03E-4</v>
      </c>
      <c r="C13" s="240">
        <f t="shared" si="1"/>
        <v>2.3344999999999998E-4</v>
      </c>
      <c r="D13" s="243">
        <f t="shared" si="2"/>
        <v>1.6240000000000002E-4</v>
      </c>
      <c r="E13" s="241">
        <f t="shared" si="3"/>
        <v>0.99979700000000005</v>
      </c>
      <c r="F13" s="243">
        <f t="shared" si="4"/>
        <v>80.003982108543738</v>
      </c>
      <c r="G13" s="244">
        <f t="shared" si="6"/>
        <v>99291.173946391966</v>
      </c>
      <c r="H13" s="245">
        <f t="shared" si="0"/>
        <v>20.156108311117571</v>
      </c>
      <c r="I13" s="244">
        <f t="shared" si="5"/>
        <v>99281.095892236408</v>
      </c>
      <c r="J13" s="245">
        <f>SUM(I13:$I$130)</f>
        <v>7943689.3039434468</v>
      </c>
    </row>
    <row r="14" spans="1:14" ht="15.75" thickBot="1">
      <c r="A14" s="147">
        <v>4</v>
      </c>
      <c r="B14" s="315">
        <v>1.5549999999999999E-4</v>
      </c>
      <c r="C14" s="238">
        <f t="shared" si="1"/>
        <v>1.7882499999999997E-4</v>
      </c>
      <c r="D14" s="242">
        <f t="shared" si="2"/>
        <v>1.2439999999999999E-4</v>
      </c>
      <c r="E14" s="237">
        <f t="shared" si="3"/>
        <v>0.99984450000000002</v>
      </c>
      <c r="F14" s="242">
        <f t="shared" si="4"/>
        <v>79.020124693856602</v>
      </c>
      <c r="G14" s="124">
        <f t="shared" si="6"/>
        <v>99271.01783808085</v>
      </c>
      <c r="H14" s="126">
        <f t="shared" si="0"/>
        <v>15.43664327382157</v>
      </c>
      <c r="I14" s="124">
        <f t="shared" si="5"/>
        <v>99263.299516443934</v>
      </c>
      <c r="J14" s="126">
        <f>SUM(I14:$I$130)</f>
        <v>7844408.2080512112</v>
      </c>
    </row>
    <row r="15" spans="1:14" ht="15.75" thickBot="1">
      <c r="A15" s="239">
        <v>5</v>
      </c>
      <c r="B15" s="315">
        <v>1.3799999999999999E-4</v>
      </c>
      <c r="C15" s="240">
        <f t="shared" si="1"/>
        <v>1.5869999999999998E-4</v>
      </c>
      <c r="D15" s="243">
        <f t="shared" si="2"/>
        <v>1.104E-4</v>
      </c>
      <c r="E15" s="241">
        <f t="shared" si="3"/>
        <v>0.99986200000000003</v>
      </c>
      <c r="F15" s="243">
        <f t="shared" si="4"/>
        <v>78.032336472178002</v>
      </c>
      <c r="G15" s="244">
        <f t="shared" si="6"/>
        <v>99255.581194807033</v>
      </c>
      <c r="H15" s="245">
        <f t="shared" si="0"/>
        <v>13.69727020488337</v>
      </c>
      <c r="I15" s="244">
        <f t="shared" si="5"/>
        <v>99248.732559704586</v>
      </c>
      <c r="J15" s="245">
        <f>SUM(I15:$I$130)</f>
        <v>7745144.9085347662</v>
      </c>
    </row>
    <row r="16" spans="1:14" ht="15.75" thickBot="1">
      <c r="A16" s="147">
        <v>6</v>
      </c>
      <c r="B16" s="315">
        <v>1.2550000000000001E-4</v>
      </c>
      <c r="C16" s="238">
        <f t="shared" si="1"/>
        <v>1.44325E-4</v>
      </c>
      <c r="D16" s="242">
        <f t="shared" si="2"/>
        <v>1.0040000000000001E-4</v>
      </c>
      <c r="E16" s="237">
        <f t="shared" si="3"/>
        <v>0.9998745</v>
      </c>
      <c r="F16" s="242">
        <f t="shared" si="4"/>
        <v>77.043037411340777</v>
      </c>
      <c r="G16" s="124">
        <f t="shared" si="6"/>
        <v>99241.883924602153</v>
      </c>
      <c r="H16" s="126">
        <f t="shared" si="0"/>
        <v>12.454856432537571</v>
      </c>
      <c r="I16" s="124">
        <f t="shared" si="5"/>
        <v>99235.656496385884</v>
      </c>
      <c r="J16" s="126">
        <f>SUM(I16:$I$130)</f>
        <v>7645896.1759750629</v>
      </c>
    </row>
    <row r="17" spans="1:10" ht="15.75" thickBot="1">
      <c r="A17" s="239">
        <v>7</v>
      </c>
      <c r="B17" s="315">
        <v>1.1300000000000001E-4</v>
      </c>
      <c r="C17" s="240">
        <f t="shared" si="1"/>
        <v>1.2994999999999999E-4</v>
      </c>
      <c r="D17" s="243">
        <f t="shared" si="2"/>
        <v>9.0400000000000015E-5</v>
      </c>
      <c r="E17" s="241">
        <f t="shared" si="3"/>
        <v>0.99988699999999997</v>
      </c>
      <c r="F17" s="243">
        <f t="shared" si="4"/>
        <v>76.052644768259185</v>
      </c>
      <c r="G17" s="244">
        <f t="shared" si="6"/>
        <v>99229.429068169615</v>
      </c>
      <c r="H17" s="245">
        <f t="shared" si="0"/>
        <v>11.212925484703167</v>
      </c>
      <c r="I17" s="244">
        <f t="shared" si="5"/>
        <v>99223.822605427267</v>
      </c>
      <c r="J17" s="245">
        <f>SUM(I17:$I$130)</f>
        <v>7546660.5194786759</v>
      </c>
    </row>
    <row r="18" spans="1:10" ht="15.75" thickBot="1">
      <c r="A18" s="147">
        <v>8</v>
      </c>
      <c r="B18" s="315">
        <v>9.9500000000000006E-5</v>
      </c>
      <c r="C18" s="238">
        <f t="shared" si="1"/>
        <v>1.14425E-4</v>
      </c>
      <c r="D18" s="242">
        <f t="shared" si="2"/>
        <v>7.960000000000001E-5</v>
      </c>
      <c r="E18" s="237">
        <f t="shared" si="3"/>
        <v>0.99990049999999997</v>
      </c>
      <c r="F18" s="242">
        <f t="shared" si="4"/>
        <v>75.061183181958768</v>
      </c>
      <c r="G18" s="124">
        <f t="shared" si="6"/>
        <v>99218.216142684905</v>
      </c>
      <c r="H18" s="126">
        <f t="shared" si="0"/>
        <v>9.8722125061971493</v>
      </c>
      <c r="I18" s="124">
        <f t="shared" si="5"/>
        <v>99213.28003643181</v>
      </c>
      <c r="J18" s="126">
        <f>SUM(I18:$I$130)</f>
        <v>7447436.6968732504</v>
      </c>
    </row>
    <row r="19" spans="1:10" ht="15.75" thickBot="1">
      <c r="A19" s="239">
        <v>9</v>
      </c>
      <c r="B19" s="315">
        <v>8.6000000000000003E-5</v>
      </c>
      <c r="C19" s="240">
        <f t="shared" si="1"/>
        <v>9.8899999999999992E-5</v>
      </c>
      <c r="D19" s="243">
        <f t="shared" si="2"/>
        <v>6.8800000000000005E-5</v>
      </c>
      <c r="E19" s="241">
        <f t="shared" si="3"/>
        <v>0.99991399999999997</v>
      </c>
      <c r="F19" s="243">
        <f t="shared" si="4"/>
        <v>74.068602757933149</v>
      </c>
      <c r="G19" s="244">
        <f t="shared" si="6"/>
        <v>99208.343930178715</v>
      </c>
      <c r="H19" s="245">
        <f t="shared" si="0"/>
        <v>8.5319175779953706</v>
      </c>
      <c r="I19" s="244">
        <f t="shared" si="5"/>
        <v>99204.077971389721</v>
      </c>
      <c r="J19" s="245">
        <f>SUM(I19:$I$130)</f>
        <v>7348223.4168368159</v>
      </c>
    </row>
    <row r="20" spans="1:10" ht="15.75" thickBot="1">
      <c r="A20" s="147">
        <v>10</v>
      </c>
      <c r="B20" s="315">
        <v>7.7000000000000001E-5</v>
      </c>
      <c r="C20" s="238">
        <f t="shared" si="1"/>
        <v>8.8549999999999998E-5</v>
      </c>
      <c r="D20" s="242">
        <f t="shared" si="2"/>
        <v>6.1600000000000007E-5</v>
      </c>
      <c r="E20" s="237">
        <f t="shared" si="3"/>
        <v>0.99992300000000001</v>
      </c>
      <c r="F20" s="242">
        <f t="shared" si="4"/>
        <v>73.074930201930528</v>
      </c>
      <c r="G20" s="124">
        <f t="shared" si="6"/>
        <v>99199.812012600712</v>
      </c>
      <c r="H20" s="126">
        <f t="shared" si="0"/>
        <v>7.6383855249702552</v>
      </c>
      <c r="I20" s="124">
        <f t="shared" si="5"/>
        <v>99195.992819838226</v>
      </c>
      <c r="J20" s="126">
        <f>SUM(I20:$I$130)</f>
        <v>7249019.3388654264</v>
      </c>
    </row>
    <row r="21" spans="1:10" ht="15.75" thickBot="1">
      <c r="A21" s="239">
        <v>11</v>
      </c>
      <c r="B21" s="315">
        <v>7.9999999999999993E-5</v>
      </c>
      <c r="C21" s="240">
        <f t="shared" si="1"/>
        <v>9.1999999999999987E-5</v>
      </c>
      <c r="D21" s="243">
        <f t="shared" si="2"/>
        <v>6.3999999999999997E-5</v>
      </c>
      <c r="E21" s="241">
        <f t="shared" si="3"/>
        <v>0.99992000000000003</v>
      </c>
      <c r="F21" s="243">
        <f t="shared" si="4"/>
        <v>72.080518901885966</v>
      </c>
      <c r="G21" s="244">
        <f t="shared" si="6"/>
        <v>99192.173627075739</v>
      </c>
      <c r="H21" s="245">
        <f t="shared" si="0"/>
        <v>7.9353738901660584</v>
      </c>
      <c r="I21" s="244">
        <f t="shared" si="5"/>
        <v>99188.205940130661</v>
      </c>
      <c r="J21" s="245">
        <f>SUM(I21:$I$130)</f>
        <v>7149823.3460455881</v>
      </c>
    </row>
    <row r="22" spans="1:10" ht="15.75" thickBot="1">
      <c r="A22" s="147">
        <v>12</v>
      </c>
      <c r="B22" s="315">
        <v>1.05E-4</v>
      </c>
      <c r="C22" s="238">
        <f t="shared" si="1"/>
        <v>1.2074999999999999E-4</v>
      </c>
      <c r="D22" s="242">
        <f t="shared" si="2"/>
        <v>8.4000000000000009E-5</v>
      </c>
      <c r="E22" s="237">
        <f t="shared" si="3"/>
        <v>0.99989499999999998</v>
      </c>
      <c r="F22" s="242">
        <f t="shared" si="4"/>
        <v>71.08624580155012</v>
      </c>
      <c r="G22" s="124">
        <f t="shared" si="6"/>
        <v>99184.238253185569</v>
      </c>
      <c r="H22" s="126">
        <f t="shared" si="0"/>
        <v>10.414345016584486</v>
      </c>
      <c r="I22" s="124">
        <f t="shared" si="5"/>
        <v>99179.031080677276</v>
      </c>
      <c r="J22" s="126">
        <f>SUM(I22:$I$130)</f>
        <v>7050635.1401054589</v>
      </c>
    </row>
    <row r="23" spans="1:10" ht="15.75" thickBot="1">
      <c r="A23" s="239">
        <v>13</v>
      </c>
      <c r="B23" s="315">
        <v>1.295E-4</v>
      </c>
      <c r="C23" s="240">
        <f t="shared" si="1"/>
        <v>1.48925E-4</v>
      </c>
      <c r="D23" s="243">
        <f t="shared" si="2"/>
        <v>1.0360000000000001E-4</v>
      </c>
      <c r="E23" s="241">
        <f t="shared" si="3"/>
        <v>0.9998705</v>
      </c>
      <c r="F23" s="243">
        <f t="shared" si="4"/>
        <v>70.093658135654351</v>
      </c>
      <c r="G23" s="244">
        <f t="shared" si="6"/>
        <v>99173.823908168983</v>
      </c>
      <c r="H23" s="245">
        <f t="shared" si="0"/>
        <v>12.843010196107883</v>
      </c>
      <c r="I23" s="244">
        <f t="shared" si="5"/>
        <v>99167.402403070926</v>
      </c>
      <c r="J23" s="245">
        <f>SUM(I23:$I$130)</f>
        <v>6951456.1090247808</v>
      </c>
    </row>
    <row r="24" spans="1:10" ht="15.75" thickBot="1">
      <c r="A24" s="147">
        <v>14</v>
      </c>
      <c r="B24" s="315">
        <v>1.5200000000000001E-4</v>
      </c>
      <c r="C24" s="238">
        <f t="shared" si="1"/>
        <v>1.7479999999999999E-4</v>
      </c>
      <c r="D24" s="242">
        <f t="shared" si="2"/>
        <v>1.2160000000000001E-4</v>
      </c>
      <c r="E24" s="237">
        <f t="shared" si="3"/>
        <v>0.99984799999999996</v>
      </c>
      <c r="F24" s="242">
        <f t="shared" si="4"/>
        <v>69.102671681637119</v>
      </c>
      <c r="G24" s="124">
        <f t="shared" si="6"/>
        <v>99160.98089797287</v>
      </c>
      <c r="H24" s="126">
        <f t="shared" si="0"/>
        <v>15.072469096491877</v>
      </c>
      <c r="I24" s="124">
        <f t="shared" si="5"/>
        <v>99153.444663424627</v>
      </c>
      <c r="J24" s="126">
        <f>SUM(I24:$I$130)</f>
        <v>6852288.7066217093</v>
      </c>
    </row>
    <row r="25" spans="1:10" ht="15.75" thickBot="1">
      <c r="A25" s="239">
        <v>15</v>
      </c>
      <c r="B25" s="315">
        <v>1.7500000000000003E-4</v>
      </c>
      <c r="C25" s="240">
        <f t="shared" si="1"/>
        <v>2.0125000000000001E-4</v>
      </c>
      <c r="D25" s="243">
        <f t="shared" si="2"/>
        <v>1.4000000000000001E-4</v>
      </c>
      <c r="E25" s="241">
        <f t="shared" si="3"/>
        <v>0.99982499999999996</v>
      </c>
      <c r="F25" s="243">
        <f t="shared" si="4"/>
        <v>68.11310087296981</v>
      </c>
      <c r="G25" s="244">
        <f t="shared" si="6"/>
        <v>99145.908428876384</v>
      </c>
      <c r="H25" s="245">
        <f t="shared" si="0"/>
        <v>17.35053397505337</v>
      </c>
      <c r="I25" s="244">
        <f t="shared" si="5"/>
        <v>99137.233161888857</v>
      </c>
      <c r="J25" s="245">
        <f>SUM(I25:$I$130)</f>
        <v>6753135.2619582852</v>
      </c>
    </row>
    <row r="26" spans="1:10" ht="15.75" thickBot="1">
      <c r="A26" s="147">
        <v>16</v>
      </c>
      <c r="B26" s="315">
        <v>1.9750000000000003E-4</v>
      </c>
      <c r="C26" s="238">
        <f t="shared" si="1"/>
        <v>2.27125E-4</v>
      </c>
      <c r="D26" s="242">
        <f t="shared" si="2"/>
        <v>1.5800000000000005E-4</v>
      </c>
      <c r="E26" s="237">
        <f t="shared" si="3"/>
        <v>0.99980250000000004</v>
      </c>
      <c r="F26" s="242">
        <f t="shared" si="4"/>
        <v>67.124935236636219</v>
      </c>
      <c r="G26" s="124">
        <f t="shared" si="6"/>
        <v>99128.557894901329</v>
      </c>
      <c r="H26" s="126">
        <f t="shared" si="0"/>
        <v>19.577890184243014</v>
      </c>
      <c r="I26" s="124">
        <f t="shared" si="5"/>
        <v>99118.768949809208</v>
      </c>
      <c r="J26" s="126">
        <f>SUM(I26:$I$130)</f>
        <v>6653998.0287963962</v>
      </c>
    </row>
    <row r="27" spans="1:10" ht="15.75" thickBot="1">
      <c r="A27" s="239">
        <v>17</v>
      </c>
      <c r="B27" s="315">
        <v>2.1999999999999998E-4</v>
      </c>
      <c r="C27" s="240">
        <f t="shared" si="1"/>
        <v>2.5299999999999997E-4</v>
      </c>
      <c r="D27" s="243">
        <f t="shared" si="2"/>
        <v>1.76E-4</v>
      </c>
      <c r="E27" s="241">
        <f t="shared" si="3"/>
        <v>0.99978</v>
      </c>
      <c r="F27" s="243">
        <f t="shared" si="4"/>
        <v>66.138096260647714</v>
      </c>
      <c r="G27" s="244">
        <f t="shared" si="6"/>
        <v>99108.980004717087</v>
      </c>
      <c r="H27" s="245">
        <f t="shared" si="0"/>
        <v>21.803975601037756</v>
      </c>
      <c r="I27" s="244">
        <f t="shared" si="5"/>
        <v>99098.078016916566</v>
      </c>
      <c r="J27" s="245">
        <f>SUM(I27:$I$130)</f>
        <v>6554879.2598465877</v>
      </c>
    </row>
    <row r="28" spans="1:10" ht="15.75" thickBot="1">
      <c r="A28" s="147">
        <v>18</v>
      </c>
      <c r="B28" s="315">
        <v>2.4249999999999999E-4</v>
      </c>
      <c r="C28" s="238">
        <f t="shared" si="1"/>
        <v>2.7887499999999999E-4</v>
      </c>
      <c r="D28" s="242">
        <f t="shared" si="2"/>
        <v>1.94E-4</v>
      </c>
      <c r="E28" s="237">
        <f t="shared" si="3"/>
        <v>0.99975749999999997</v>
      </c>
      <c r="F28" s="242">
        <f t="shared" si="4"/>
        <v>65.152539819407963</v>
      </c>
      <c r="G28" s="124">
        <f t="shared" si="6"/>
        <v>99087.176029116046</v>
      </c>
      <c r="H28" s="126">
        <f t="shared" si="0"/>
        <v>24.028640187060638</v>
      </c>
      <c r="I28" s="124">
        <f t="shared" si="5"/>
        <v>99075.161709022519</v>
      </c>
      <c r="J28" s="126">
        <f>SUM(I28:$I$130)</f>
        <v>6455781.1818296695</v>
      </c>
    </row>
    <row r="29" spans="1:10" ht="15.75" thickBot="1">
      <c r="A29" s="239">
        <v>19</v>
      </c>
      <c r="B29" s="315">
        <v>2.655E-4</v>
      </c>
      <c r="C29" s="240">
        <f t="shared" si="1"/>
        <v>3.0532499999999995E-4</v>
      </c>
      <c r="D29" s="243">
        <f t="shared" si="2"/>
        <v>2.1240000000000001E-4</v>
      </c>
      <c r="E29" s="241">
        <f t="shared" si="3"/>
        <v>0.99973449999999997</v>
      </c>
      <c r="F29" s="243">
        <f t="shared" si="4"/>
        <v>64.168221863209794</v>
      </c>
      <c r="G29" s="244">
        <f t="shared" si="6"/>
        <v>99063.147388928992</v>
      </c>
      <c r="H29" s="245">
        <f t="shared" si="0"/>
        <v>26.301265631760646</v>
      </c>
      <c r="I29" s="244">
        <f t="shared" si="5"/>
        <v>99049.996756113105</v>
      </c>
      <c r="J29" s="245">
        <f>SUM(I29:$I$130)</f>
        <v>6356706.0201206477</v>
      </c>
    </row>
    <row r="30" spans="1:10" ht="15.75" thickBot="1">
      <c r="A30" s="147">
        <v>20</v>
      </c>
      <c r="B30" s="315">
        <v>2.8400000000000002E-4</v>
      </c>
      <c r="C30" s="238">
        <f t="shared" si="1"/>
        <v>3.2659999999999997E-4</v>
      </c>
      <c r="D30" s="242">
        <f t="shared" si="2"/>
        <v>2.2720000000000002E-4</v>
      </c>
      <c r="E30" s="237">
        <f t="shared" si="3"/>
        <v>0.99971600000000005</v>
      </c>
      <c r="F30" s="242">
        <f t="shared" si="4"/>
        <v>63.185130265295243</v>
      </c>
      <c r="G30" s="124">
        <f t="shared" si="6"/>
        <v>99036.846123297233</v>
      </c>
      <c r="H30" s="126">
        <f t="shared" si="0"/>
        <v>28.126464299016416</v>
      </c>
      <c r="I30" s="124">
        <f t="shared" si="5"/>
        <v>99022.782891147726</v>
      </c>
      <c r="J30" s="126">
        <f>SUM(I30:$I$130)</f>
        <v>6257656.0233645355</v>
      </c>
    </row>
    <row r="31" spans="1:10" ht="15.75" thickBot="1">
      <c r="A31" s="239">
        <v>21</v>
      </c>
      <c r="B31" s="315">
        <v>3.055E-4</v>
      </c>
      <c r="C31" s="240">
        <f t="shared" si="1"/>
        <v>3.5132499999999999E-4</v>
      </c>
      <c r="D31" s="243">
        <f t="shared" si="2"/>
        <v>2.4440000000000003E-4</v>
      </c>
      <c r="E31" s="241">
        <f t="shared" si="3"/>
        <v>0.99969450000000004</v>
      </c>
      <c r="F31" s="243">
        <f t="shared" si="4"/>
        <v>62.202937899658728</v>
      </c>
      <c r="G31" s="244">
        <f t="shared" si="6"/>
        <v>99008.71965899822</v>
      </c>
      <c r="H31" s="245">
        <f t="shared" si="0"/>
        <v>30.247163855823956</v>
      </c>
      <c r="I31" s="244">
        <f t="shared" si="5"/>
        <v>98993.59607707031</v>
      </c>
      <c r="J31" s="245">
        <f>SUM(I31:$I$130)</f>
        <v>6158633.2404733868</v>
      </c>
    </row>
    <row r="32" spans="1:10" ht="15.75" thickBot="1">
      <c r="A32" s="147">
        <v>22</v>
      </c>
      <c r="B32" s="315">
        <v>3.2499999999999999E-4</v>
      </c>
      <c r="C32" s="238">
        <f t="shared" si="1"/>
        <v>3.7374999999999995E-4</v>
      </c>
      <c r="D32" s="242">
        <f t="shared" si="2"/>
        <v>2.5999999999999998E-4</v>
      </c>
      <c r="E32" s="237">
        <f t="shared" si="3"/>
        <v>0.99967499999999998</v>
      </c>
      <c r="F32" s="242">
        <f t="shared" si="4"/>
        <v>61.221793907697538</v>
      </c>
      <c r="G32" s="124">
        <f t="shared" si="6"/>
        <v>98978.4724951424</v>
      </c>
      <c r="H32" s="126">
        <f t="shared" si="0"/>
        <v>32.168003560921278</v>
      </c>
      <c r="I32" s="124">
        <f t="shared" si="5"/>
        <v>98962.388493361941</v>
      </c>
      <c r="J32" s="126">
        <f>SUM(I32:$I$130)</f>
        <v>6059639.6443963172</v>
      </c>
    </row>
    <row r="33" spans="1:10" ht="15.75" thickBot="1">
      <c r="A33" s="239">
        <v>23</v>
      </c>
      <c r="B33" s="315">
        <v>3.3750000000000002E-4</v>
      </c>
      <c r="C33" s="240">
        <f t="shared" si="1"/>
        <v>3.8812500000000002E-4</v>
      </c>
      <c r="D33" s="243">
        <f t="shared" si="2"/>
        <v>2.7E-4</v>
      </c>
      <c r="E33" s="241">
        <f t="shared" si="3"/>
        <v>0.99966250000000001</v>
      </c>
      <c r="F33" s="243">
        <f t="shared" si="4"/>
        <v>60.241534906542149</v>
      </c>
      <c r="G33" s="244">
        <f t="shared" si="6"/>
        <v>98946.304491581483</v>
      </c>
      <c r="H33" s="245">
        <f t="shared" si="0"/>
        <v>33.39437776590875</v>
      </c>
      <c r="I33" s="244">
        <f t="shared" si="5"/>
        <v>98929.607302698525</v>
      </c>
      <c r="J33" s="245">
        <f>SUM(I33:$I$130)</f>
        <v>5960677.2559029544</v>
      </c>
    </row>
    <row r="34" spans="1:10" ht="15.75" thickBot="1">
      <c r="A34" s="147">
        <v>24</v>
      </c>
      <c r="B34" s="315">
        <v>3.4249999999999998E-4</v>
      </c>
      <c r="C34" s="238">
        <f t="shared" si="1"/>
        <v>3.9387499999999997E-4</v>
      </c>
      <c r="D34" s="242">
        <f t="shared" si="2"/>
        <v>2.7399999999999999E-4</v>
      </c>
      <c r="E34" s="237">
        <f t="shared" si="3"/>
        <v>0.99965749999999998</v>
      </c>
      <c r="F34" s="242">
        <f t="shared" si="4"/>
        <v>59.261704481804777</v>
      </c>
      <c r="G34" s="124">
        <f t="shared" si="6"/>
        <v>98912.910113815567</v>
      </c>
      <c r="H34" s="126">
        <f t="shared" si="0"/>
        <v>33.877671713981833</v>
      </c>
      <c r="I34" s="124">
        <f t="shared" si="5"/>
        <v>98895.971277958583</v>
      </c>
      <c r="J34" s="126">
        <f>SUM(I34:$I$130)</f>
        <v>5861747.648600257</v>
      </c>
    </row>
    <row r="35" spans="1:10" ht="15.75" thickBot="1">
      <c r="A35" s="239">
        <v>25</v>
      </c>
      <c r="B35" s="315">
        <v>3.2850000000000002E-4</v>
      </c>
      <c r="C35" s="240">
        <f t="shared" si="1"/>
        <v>3.7777500000000001E-4</v>
      </c>
      <c r="D35" s="243">
        <f t="shared" si="2"/>
        <v>2.6280000000000005E-4</v>
      </c>
      <c r="E35" s="241">
        <f t="shared" si="3"/>
        <v>0.99967150000000005</v>
      </c>
      <c r="F35" s="243">
        <f t="shared" si="4"/>
        <v>58.281837261066698</v>
      </c>
      <c r="G35" s="244">
        <f t="shared" si="6"/>
        <v>98879.032442101583</v>
      </c>
      <c r="H35" s="245">
        <f t="shared" si="0"/>
        <v>32.481762157230371</v>
      </c>
      <c r="I35" s="244">
        <f t="shared" si="5"/>
        <v>98862.791561022968</v>
      </c>
      <c r="J35" s="245">
        <f>SUM(I35:$I$130)</f>
        <v>5762851.6773222992</v>
      </c>
    </row>
    <row r="36" spans="1:10" ht="15.75" thickBot="1">
      <c r="A36" s="147">
        <v>26</v>
      </c>
      <c r="B36" s="315">
        <v>3.2049999999999998E-4</v>
      </c>
      <c r="C36" s="238">
        <f t="shared" si="1"/>
        <v>3.6857499999999995E-4</v>
      </c>
      <c r="D36" s="242">
        <f t="shared" si="2"/>
        <v>2.564E-4</v>
      </c>
      <c r="E36" s="237">
        <f t="shared" si="3"/>
        <v>0.99967950000000005</v>
      </c>
      <c r="F36" s="242">
        <f t="shared" si="4"/>
        <v>57.30082483202402</v>
      </c>
      <c r="G36" s="124">
        <f t="shared" si="6"/>
        <v>98846.550679944354</v>
      </c>
      <c r="H36" s="126">
        <f t="shared" si="0"/>
        <v>31.680319492922163</v>
      </c>
      <c r="I36" s="124">
        <f t="shared" si="5"/>
        <v>98830.710520197899</v>
      </c>
      <c r="J36" s="126">
        <f>SUM(I36:$I$130)</f>
        <v>5663988.8857612759</v>
      </c>
    </row>
    <row r="37" spans="1:10" ht="15.75" thickBot="1">
      <c r="A37" s="239">
        <v>27</v>
      </c>
      <c r="B37" s="315">
        <v>3.1800000000000003E-4</v>
      </c>
      <c r="C37" s="240">
        <f t="shared" si="1"/>
        <v>3.657E-4</v>
      </c>
      <c r="D37" s="243">
        <f t="shared" si="2"/>
        <v>2.5440000000000006E-4</v>
      </c>
      <c r="E37" s="241">
        <f t="shared" si="3"/>
        <v>0.99968199999999996</v>
      </c>
      <c r="F37" s="243">
        <f t="shared" si="4"/>
        <v>56.319035332848188</v>
      </c>
      <c r="G37" s="244">
        <f t="shared" si="6"/>
        <v>98814.87036045143</v>
      </c>
      <c r="H37" s="245">
        <f t="shared" si="0"/>
        <v>31.423128774623557</v>
      </c>
      <c r="I37" s="244">
        <f t="shared" si="5"/>
        <v>98799.158796064119</v>
      </c>
      <c r="J37" s="245">
        <f>SUM(I37:$I$130)</f>
        <v>5565158.1752410773</v>
      </c>
    </row>
    <row r="38" spans="1:10" ht="15.75" thickBot="1">
      <c r="A38" s="147">
        <v>28</v>
      </c>
      <c r="B38" s="315">
        <v>3.1999999999999997E-4</v>
      </c>
      <c r="C38" s="238">
        <f t="shared" si="1"/>
        <v>3.6799999999999995E-4</v>
      </c>
      <c r="D38" s="242">
        <f t="shared" si="2"/>
        <v>2.5599999999999999E-4</v>
      </c>
      <c r="E38" s="237">
        <f t="shared" si="3"/>
        <v>0.99968000000000001</v>
      </c>
      <c r="F38" s="242">
        <f t="shared" si="4"/>
        <v>55.336791432523732</v>
      </c>
      <c r="G38" s="124">
        <f t="shared" si="6"/>
        <v>98783.447231676808</v>
      </c>
      <c r="H38" s="126">
        <f t="shared" si="0"/>
        <v>31.610703114136577</v>
      </c>
      <c r="I38" s="124">
        <f t="shared" si="5"/>
        <v>98767.641880119743</v>
      </c>
      <c r="J38" s="126">
        <f>SUM(I38:$I$130)</f>
        <v>5466359.0164450137</v>
      </c>
    </row>
    <row r="39" spans="1:10" ht="15.75" thickBot="1">
      <c r="A39" s="239">
        <v>29</v>
      </c>
      <c r="B39" s="315">
        <v>3.2600000000000001E-4</v>
      </c>
      <c r="C39" s="240">
        <f t="shared" si="1"/>
        <v>3.7490000000000001E-4</v>
      </c>
      <c r="D39" s="243">
        <f t="shared" si="2"/>
        <v>2.608E-4</v>
      </c>
      <c r="E39" s="241">
        <f t="shared" si="3"/>
        <v>0.99967399999999995</v>
      </c>
      <c r="F39" s="243">
        <f t="shared" si="4"/>
        <v>54.354344822867056</v>
      </c>
      <c r="G39" s="244">
        <f t="shared" si="6"/>
        <v>98751.836528562664</v>
      </c>
      <c r="H39" s="245">
        <f t="shared" si="0"/>
        <v>32.193098708311432</v>
      </c>
      <c r="I39" s="244">
        <f t="shared" si="5"/>
        <v>98735.739979208505</v>
      </c>
      <c r="J39" s="245">
        <f>SUM(I39:$I$130)</f>
        <v>5367591.3745648935</v>
      </c>
    </row>
    <row r="40" spans="1:10" ht="15.75" thickBot="1">
      <c r="A40" s="147">
        <v>30</v>
      </c>
      <c r="B40" s="315">
        <v>3.3500000000000001E-4</v>
      </c>
      <c r="C40" s="238">
        <f t="shared" si="1"/>
        <v>3.8524999999999996E-4</v>
      </c>
      <c r="D40" s="242">
        <f t="shared" si="2"/>
        <v>2.6800000000000001E-4</v>
      </c>
      <c r="E40" s="237">
        <f t="shared" si="3"/>
        <v>0.99966500000000003</v>
      </c>
      <c r="F40" s="242">
        <f t="shared" si="4"/>
        <v>53.371907064570109</v>
      </c>
      <c r="G40" s="124">
        <f t="shared" si="6"/>
        <v>98719.643429854346</v>
      </c>
      <c r="H40" s="126">
        <f t="shared" si="0"/>
        <v>33.071080549001209</v>
      </c>
      <c r="I40" s="124">
        <f t="shared" si="5"/>
        <v>98703.107889579842</v>
      </c>
      <c r="J40" s="126">
        <f>SUM(I40:$I$130)</f>
        <v>5268855.6345856851</v>
      </c>
    </row>
    <row r="41" spans="1:10" ht="15.75" thickBot="1">
      <c r="A41" s="239">
        <v>31</v>
      </c>
      <c r="B41" s="315">
        <v>3.4699999999999998E-4</v>
      </c>
      <c r="C41" s="240">
        <f t="shared" si="1"/>
        <v>3.9904999999999997E-4</v>
      </c>
      <c r="D41" s="243">
        <f t="shared" si="2"/>
        <v>2.7759999999999997E-4</v>
      </c>
      <c r="E41" s="241">
        <f t="shared" si="3"/>
        <v>0.99965300000000001</v>
      </c>
      <c r="F41" s="243">
        <f t="shared" si="4"/>
        <v>52.355001268262043</v>
      </c>
      <c r="G41" s="244">
        <f>G38-H38</f>
        <v>98751.836528562664</v>
      </c>
      <c r="H41" s="245">
        <f t="shared" si="0"/>
        <v>34.266887275411243</v>
      </c>
      <c r="I41" s="244">
        <f t="shared" si="5"/>
        <v>98734.703084924957</v>
      </c>
      <c r="J41" s="245">
        <f>SUM(I41:$I$130)</f>
        <v>5170152.5266961046</v>
      </c>
    </row>
    <row r="42" spans="1:10" ht="15.75" thickBot="1">
      <c r="A42" s="147">
        <v>32</v>
      </c>
      <c r="B42" s="315">
        <v>3.6049999999999998E-4</v>
      </c>
      <c r="C42" s="238">
        <f t="shared" si="1"/>
        <v>4.1457499999999993E-4</v>
      </c>
      <c r="D42" s="242">
        <f t="shared" si="2"/>
        <v>2.8840000000000002E-4</v>
      </c>
      <c r="E42" s="237">
        <f t="shared" si="3"/>
        <v>0.99963950000000001</v>
      </c>
      <c r="F42" s="242">
        <f t="shared" si="4"/>
        <v>51.371922014838873</v>
      </c>
      <c r="G42" s="124">
        <f t="shared" ref="G42:G43" si="7">G39-H39</f>
        <v>98719.643429854346</v>
      </c>
      <c r="H42" s="126">
        <f t="shared" si="0"/>
        <v>35.588431456462487</v>
      </c>
      <c r="I42" s="124">
        <f t="shared" si="5"/>
        <v>98701.849214126109</v>
      </c>
      <c r="J42" s="126">
        <f>SUM(I42:$I$130)</f>
        <v>5071417.8236111784</v>
      </c>
    </row>
    <row r="43" spans="1:10" ht="15.75" thickBot="1">
      <c r="A43" s="239">
        <v>33</v>
      </c>
      <c r="B43" s="315">
        <v>3.7500000000000001E-4</v>
      </c>
      <c r="C43" s="240">
        <f t="shared" si="1"/>
        <v>4.3124999999999999E-4</v>
      </c>
      <c r="D43" s="243">
        <f t="shared" si="2"/>
        <v>3.0000000000000003E-4</v>
      </c>
      <c r="E43" s="241">
        <f t="shared" si="3"/>
        <v>0.99962499999999999</v>
      </c>
      <c r="F43" s="243">
        <f t="shared" si="4"/>
        <v>50.388982574001176</v>
      </c>
      <c r="G43" s="244">
        <f t="shared" si="7"/>
        <v>98686.572349305352</v>
      </c>
      <c r="H43" s="245">
        <f t="shared" si="0"/>
        <v>37.00746463098951</v>
      </c>
      <c r="I43" s="244">
        <f t="shared" si="5"/>
        <v>98668.068616989854</v>
      </c>
      <c r="J43" s="245">
        <f>SUM(I43:$I$130)</f>
        <v>4972715.9743970539</v>
      </c>
    </row>
    <row r="44" spans="1:10" ht="15.75" thickBot="1">
      <c r="A44" s="147">
        <v>34</v>
      </c>
      <c r="B44" s="315">
        <v>3.8999999999999999E-4</v>
      </c>
      <c r="C44" s="238">
        <f t="shared" si="1"/>
        <v>4.4849999999999995E-4</v>
      </c>
      <c r="D44" s="242">
        <f t="shared" si="2"/>
        <v>3.1199999999999999E-4</v>
      </c>
      <c r="E44" s="237">
        <f t="shared" si="3"/>
        <v>0.99961</v>
      </c>
      <c r="F44" s="242">
        <f t="shared" si="4"/>
        <v>49.373661887048335</v>
      </c>
      <c r="G44" s="124">
        <f>G41-H41</f>
        <v>98717.569641287249</v>
      </c>
      <c r="H44" s="126">
        <f t="shared" si="0"/>
        <v>38.49985216010203</v>
      </c>
      <c r="I44" s="124">
        <f t="shared" si="5"/>
        <v>98698.319715207195</v>
      </c>
      <c r="J44" s="126">
        <f>SUM(I44:$I$130)</f>
        <v>4874047.9057800639</v>
      </c>
    </row>
    <row r="45" spans="1:10" ht="15.75" thickBot="1">
      <c r="A45" s="239">
        <v>35</v>
      </c>
      <c r="B45" s="315">
        <v>4.0450000000000002E-4</v>
      </c>
      <c r="C45" s="240">
        <f t="shared" si="1"/>
        <v>4.6517499999999996E-4</v>
      </c>
      <c r="D45" s="243">
        <f t="shared" si="2"/>
        <v>3.2360000000000006E-4</v>
      </c>
      <c r="E45" s="241">
        <f t="shared" si="3"/>
        <v>0.99959549999999997</v>
      </c>
      <c r="F45" s="243">
        <f t="shared" si="4"/>
        <v>48.392730051768524</v>
      </c>
      <c r="G45" s="244">
        <f t="shared" si="6"/>
        <v>98679.069789127141</v>
      </c>
      <c r="H45" s="245">
        <f t="shared" si="0"/>
        <v>39.915683729701932</v>
      </c>
      <c r="I45" s="244">
        <f t="shared" si="5"/>
        <v>98659.111947262296</v>
      </c>
      <c r="J45" s="245">
        <f>SUM(I45:$I$130)</f>
        <v>4775349.5860648565</v>
      </c>
    </row>
    <row r="46" spans="1:10" ht="15.75" thickBot="1">
      <c r="A46" s="147">
        <v>36</v>
      </c>
      <c r="B46" s="315">
        <v>4.1799999999999997E-4</v>
      </c>
      <c r="C46" s="238">
        <f t="shared" si="1"/>
        <v>4.8069999999999992E-4</v>
      </c>
      <c r="D46" s="242">
        <f t="shared" si="2"/>
        <v>3.344E-4</v>
      </c>
      <c r="E46" s="237">
        <f t="shared" si="3"/>
        <v>0.99958199999999997</v>
      </c>
      <c r="F46" s="242">
        <f t="shared" si="4"/>
        <v>47.412110500465964</v>
      </c>
      <c r="G46" s="124">
        <f t="shared" si="6"/>
        <v>98639.154105397436</v>
      </c>
      <c r="H46" s="126">
        <f t="shared" si="0"/>
        <v>41.231166416056126</v>
      </c>
      <c r="I46" s="124">
        <f t="shared" si="5"/>
        <v>98618.53852218941</v>
      </c>
      <c r="J46" s="126">
        <f>SUM(I46:$I$130)</f>
        <v>4676690.4741175938</v>
      </c>
    </row>
    <row r="47" spans="1:10" ht="15.75" thickBot="1">
      <c r="A47" s="239">
        <v>37</v>
      </c>
      <c r="B47" s="315">
        <v>4.3449999999999999E-4</v>
      </c>
      <c r="C47" s="240">
        <f t="shared" si="1"/>
        <v>4.9967499999999999E-4</v>
      </c>
      <c r="D47" s="243">
        <f t="shared" si="2"/>
        <v>3.4759999999999999E-4</v>
      </c>
      <c r="E47" s="241">
        <f t="shared" si="3"/>
        <v>0.9995655</v>
      </c>
      <c r="F47" s="243">
        <f t="shared" si="4"/>
        <v>46.431727962754387</v>
      </c>
      <c r="G47" s="244">
        <f t="shared" si="6"/>
        <v>98597.922938981385</v>
      </c>
      <c r="H47" s="245">
        <f t="shared" si="0"/>
        <v>42.840797516987408</v>
      </c>
      <c r="I47" s="244">
        <f t="shared" si="5"/>
        <v>98576.502540222893</v>
      </c>
      <c r="J47" s="245">
        <f>SUM(I47:$I$130)</f>
        <v>4578071.9355954044</v>
      </c>
    </row>
    <row r="48" spans="1:10" ht="15.75" thickBot="1">
      <c r="A48" s="147">
        <v>38</v>
      </c>
      <c r="B48" s="315">
        <v>4.5449999999999999E-4</v>
      </c>
      <c r="C48" s="238">
        <f t="shared" si="1"/>
        <v>5.226749999999999E-4</v>
      </c>
      <c r="D48" s="242">
        <f t="shared" si="2"/>
        <v>3.636E-4</v>
      </c>
      <c r="E48" s="237">
        <f t="shared" si="3"/>
        <v>0.99954549999999998</v>
      </c>
      <c r="F48" s="242">
        <f t="shared" si="4"/>
        <v>45.451693973785993</v>
      </c>
      <c r="G48" s="124">
        <f t="shared" si="6"/>
        <v>98555.082141464402</v>
      </c>
      <c r="H48" s="126">
        <f t="shared" si="0"/>
        <v>44.793284833295573</v>
      </c>
      <c r="I48" s="124">
        <f t="shared" si="5"/>
        <v>98532.685499047759</v>
      </c>
      <c r="J48" s="126">
        <f>SUM(I48:$I$130)</f>
        <v>4479495.4330551811</v>
      </c>
    </row>
    <row r="49" spans="1:10" ht="15.75" thickBot="1">
      <c r="A49" s="239">
        <v>39</v>
      </c>
      <c r="B49" s="315">
        <v>4.8000000000000001E-4</v>
      </c>
      <c r="C49" s="240">
        <f t="shared" si="1"/>
        <v>5.5199999999999997E-4</v>
      </c>
      <c r="D49" s="243">
        <f t="shared" si="2"/>
        <v>3.8400000000000001E-4</v>
      </c>
      <c r="E49" s="241">
        <f t="shared" si="3"/>
        <v>0.99951999999999996</v>
      </c>
      <c r="F49" s="243">
        <f t="shared" si="4"/>
        <v>44.472133808601995</v>
      </c>
      <c r="G49" s="244">
        <f t="shared" si="6"/>
        <v>98510.288856631101</v>
      </c>
      <c r="H49" s="245">
        <f t="shared" si="0"/>
        <v>47.284938651182927</v>
      </c>
      <c r="I49" s="244">
        <f t="shared" si="5"/>
        <v>98486.646387305504</v>
      </c>
      <c r="J49" s="245">
        <f>SUM(I49:$I$130)</f>
        <v>4380962.7475561323</v>
      </c>
    </row>
    <row r="50" spans="1:10" ht="15.75" thickBot="1">
      <c r="A50" s="147">
        <v>40</v>
      </c>
      <c r="B50" s="315">
        <v>5.1199999999999998E-4</v>
      </c>
      <c r="C50" s="238">
        <f t="shared" si="1"/>
        <v>5.8879999999999989E-4</v>
      </c>
      <c r="D50" s="242">
        <f t="shared" si="2"/>
        <v>4.0959999999999998E-4</v>
      </c>
      <c r="E50" s="237">
        <f t="shared" si="3"/>
        <v>0.99948800000000004</v>
      </c>
      <c r="F50" s="242">
        <f t="shared" si="4"/>
        <v>43.493250568875055</v>
      </c>
      <c r="G50" s="124">
        <f t="shared" si="6"/>
        <v>98463.003917979921</v>
      </c>
      <c r="H50" s="126">
        <f t="shared" si="0"/>
        <v>50.41305800600572</v>
      </c>
      <c r="I50" s="124">
        <f t="shared" si="5"/>
        <v>98437.79738897692</v>
      </c>
      <c r="J50" s="126">
        <f>SUM(I50:$I$130)</f>
        <v>4282476.1011688272</v>
      </c>
    </row>
    <row r="51" spans="1:10" ht="15.75" thickBot="1">
      <c r="A51" s="239">
        <v>41</v>
      </c>
      <c r="B51" s="315">
        <v>5.5199999999999997E-4</v>
      </c>
      <c r="C51" s="240">
        <f t="shared" si="1"/>
        <v>6.3479999999999993E-4</v>
      </c>
      <c r="D51" s="243">
        <f t="shared" si="2"/>
        <v>4.416E-4</v>
      </c>
      <c r="E51" s="241">
        <f t="shared" si="3"/>
        <v>0.999448</v>
      </c>
      <c r="F51" s="243">
        <f t="shared" si="4"/>
        <v>42.515274389362375</v>
      </c>
      <c r="G51" s="244">
        <f t="shared" si="6"/>
        <v>98412.59085997392</v>
      </c>
      <c r="H51" s="245">
        <f t="shared" si="0"/>
        <v>54.3237501547056</v>
      </c>
      <c r="I51" s="244">
        <f t="shared" si="5"/>
        <v>98385.428984896571</v>
      </c>
      <c r="J51" s="245">
        <f>SUM(I51:$I$130)</f>
        <v>4184038.303779847</v>
      </c>
    </row>
    <row r="52" spans="1:10" ht="15.75" thickBot="1">
      <c r="A52" s="147">
        <v>42</v>
      </c>
      <c r="B52" s="315">
        <v>6.0099999999999997E-4</v>
      </c>
      <c r="C52" s="238">
        <f t="shared" si="1"/>
        <v>6.9114999999999997E-4</v>
      </c>
      <c r="D52" s="242">
        <f t="shared" si="2"/>
        <v>4.8079999999999998E-4</v>
      </c>
      <c r="E52" s="237">
        <f t="shared" si="3"/>
        <v>0.99939900000000004</v>
      </c>
      <c r="F52" s="242">
        <f t="shared" si="4"/>
        <v>41.538479630118204</v>
      </c>
      <c r="G52" s="124">
        <f t="shared" si="6"/>
        <v>98358.267109819208</v>
      </c>
      <c r="H52" s="126">
        <f t="shared" si="0"/>
        <v>59.11331853300134</v>
      </c>
      <c r="I52" s="124">
        <f t="shared" si="5"/>
        <v>98328.71045055271</v>
      </c>
      <c r="J52" s="126">
        <f>SUM(I52:$I$130)</f>
        <v>4085652.8747949507</v>
      </c>
    </row>
    <row r="53" spans="1:10" ht="15.75" thickBot="1">
      <c r="A53" s="239">
        <v>43</v>
      </c>
      <c r="B53" s="315">
        <v>6.6099999999999991E-4</v>
      </c>
      <c r="C53" s="240">
        <f t="shared" si="1"/>
        <v>7.601499999999998E-4</v>
      </c>
      <c r="D53" s="243">
        <f t="shared" si="2"/>
        <v>5.2879999999999995E-4</v>
      </c>
      <c r="E53" s="241">
        <f t="shared" si="3"/>
        <v>0.99933899999999998</v>
      </c>
      <c r="F53" s="243">
        <f t="shared" si="4"/>
        <v>40.563158588429843</v>
      </c>
      <c r="G53" s="244">
        <f t="shared" si="6"/>
        <v>98299.153791286211</v>
      </c>
      <c r="H53" s="245">
        <f t="shared" si="0"/>
        <v>64.975740656040173</v>
      </c>
      <c r="I53" s="244">
        <f t="shared" si="5"/>
        <v>98266.665920958185</v>
      </c>
      <c r="J53" s="245">
        <f>SUM(I53:$I$130)</f>
        <v>3987324.1643443974</v>
      </c>
    </row>
    <row r="54" spans="1:10" ht="15.75" thickBot="1">
      <c r="A54" s="147">
        <v>44</v>
      </c>
      <c r="B54" s="315">
        <v>7.3250000000000008E-4</v>
      </c>
      <c r="C54" s="238">
        <f t="shared" si="1"/>
        <v>8.4237500000000002E-4</v>
      </c>
      <c r="D54" s="242">
        <f t="shared" si="2"/>
        <v>5.8600000000000015E-4</v>
      </c>
      <c r="E54" s="237">
        <f t="shared" si="3"/>
        <v>0.99926749999999998</v>
      </c>
      <c r="F54" s="242">
        <f t="shared" si="4"/>
        <v>39.5896578522702</v>
      </c>
      <c r="G54" s="124">
        <f t="shared" si="6"/>
        <v>98234.178050630173</v>
      </c>
      <c r="H54" s="126">
        <f t="shared" si="0"/>
        <v>71.956535422086603</v>
      </c>
      <c r="I54" s="124">
        <f t="shared" si="5"/>
        <v>98198.199782919124</v>
      </c>
      <c r="J54" s="126">
        <f>SUM(I54:$I$130)</f>
        <v>3889057.4984234395</v>
      </c>
    </row>
    <row r="55" spans="1:10" ht="15.75" thickBot="1">
      <c r="A55" s="239">
        <v>45</v>
      </c>
      <c r="B55" s="315">
        <v>8.1499999999999997E-4</v>
      </c>
      <c r="C55" s="240">
        <f t="shared" si="1"/>
        <v>9.3724999999999993E-4</v>
      </c>
      <c r="D55" s="243">
        <f t="shared" si="2"/>
        <v>6.5200000000000002E-4</v>
      </c>
      <c r="E55" s="241">
        <f t="shared" si="3"/>
        <v>0.99918499999999999</v>
      </c>
      <c r="F55" s="243">
        <f t="shared" si="4"/>
        <v>38.618312015821772</v>
      </c>
      <c r="G55" s="244">
        <f t="shared" si="6"/>
        <v>98162.22151520809</v>
      </c>
      <c r="H55" s="245">
        <f t="shared" si="0"/>
        <v>80.002210534894587</v>
      </c>
      <c r="I55" s="244">
        <f t="shared" si="5"/>
        <v>98122.220409940637</v>
      </c>
      <c r="J55" s="245">
        <f>SUM(I55:$I$130)</f>
        <v>3790859.2986405194</v>
      </c>
    </row>
    <row r="56" spans="1:10" ht="15.75" thickBot="1">
      <c r="A56" s="147">
        <v>46</v>
      </c>
      <c r="B56" s="315">
        <v>9.1E-4</v>
      </c>
      <c r="C56" s="238">
        <f t="shared" si="1"/>
        <v>1.0464999999999999E-3</v>
      </c>
      <c r="D56" s="242">
        <f t="shared" si="2"/>
        <v>7.2800000000000002E-4</v>
      </c>
      <c r="E56" s="237">
        <f t="shared" si="3"/>
        <v>0.99909000000000003</v>
      </c>
      <c r="F56" s="242">
        <f t="shared" si="4"/>
        <v>37.6494037799024</v>
      </c>
      <c r="G56" s="124">
        <f t="shared" si="6"/>
        <v>98082.219304673199</v>
      </c>
      <c r="H56" s="126">
        <f t="shared" si="0"/>
        <v>89.254819567252611</v>
      </c>
      <c r="I56" s="124">
        <f t="shared" si="5"/>
        <v>98037.591894889571</v>
      </c>
      <c r="J56" s="126">
        <f>SUM(I56:$I$130)</f>
        <v>3692737.0782305794</v>
      </c>
    </row>
    <row r="57" spans="1:10" ht="15.75" thickBot="1">
      <c r="A57" s="239">
        <v>47</v>
      </c>
      <c r="B57" s="315">
        <v>1.0154999999999999E-3</v>
      </c>
      <c r="C57" s="240">
        <f t="shared" si="1"/>
        <v>1.1678249999999997E-3</v>
      </c>
      <c r="D57" s="243">
        <f t="shared" si="2"/>
        <v>8.1240000000000001E-4</v>
      </c>
      <c r="E57" s="241">
        <f t="shared" si="3"/>
        <v>0.99898450000000005</v>
      </c>
      <c r="F57" s="243">
        <f t="shared" si="4"/>
        <v>36.683240528783593</v>
      </c>
      <c r="G57" s="244">
        <f t="shared" si="6"/>
        <v>97992.964485105942</v>
      </c>
      <c r="H57" s="245">
        <f t="shared" si="0"/>
        <v>99.511855434625076</v>
      </c>
      <c r="I57" s="244">
        <f t="shared" si="5"/>
        <v>97943.208557388629</v>
      </c>
      <c r="J57" s="245">
        <f>SUM(I57:$I$130)</f>
        <v>3594699.4863356892</v>
      </c>
    </row>
    <row r="58" spans="1:10" ht="15.75" thickBot="1">
      <c r="A58" s="147">
        <v>48</v>
      </c>
      <c r="B58" s="315">
        <v>1.132E-3</v>
      </c>
      <c r="C58" s="238">
        <f t="shared" si="1"/>
        <v>1.3017999999999999E-3</v>
      </c>
      <c r="D58" s="242">
        <f t="shared" si="2"/>
        <v>9.056E-4</v>
      </c>
      <c r="E58" s="237">
        <f t="shared" si="3"/>
        <v>0.99886799999999998</v>
      </c>
      <c r="F58" s="242">
        <f t="shared" si="4"/>
        <v>35.720021961085074</v>
      </c>
      <c r="G58" s="124">
        <f t="shared" si="6"/>
        <v>97893.452629671316</v>
      </c>
      <c r="H58" s="126">
        <f t="shared" si="0"/>
        <v>110.81538837678792</v>
      </c>
      <c r="I58" s="124">
        <f t="shared" si="5"/>
        <v>97838.044935482918</v>
      </c>
      <c r="J58" s="126">
        <f>SUM(I58:$I$130)</f>
        <v>3496756.2777783005</v>
      </c>
    </row>
    <row r="59" spans="1:10" ht="15.75" thickBot="1">
      <c r="A59" s="239">
        <v>49</v>
      </c>
      <c r="B59" s="315">
        <v>1.258E-3</v>
      </c>
      <c r="C59" s="240">
        <f t="shared" si="1"/>
        <v>1.4467E-3</v>
      </c>
      <c r="D59" s="243">
        <f t="shared" si="2"/>
        <v>1.0064E-3</v>
      </c>
      <c r="E59" s="241">
        <f t="shared" si="3"/>
        <v>0.99874200000000002</v>
      </c>
      <c r="F59" s="243">
        <f t="shared" si="4"/>
        <v>34.759936208873519</v>
      </c>
      <c r="G59" s="244">
        <f t="shared" si="6"/>
        <v>97782.637241294535</v>
      </c>
      <c r="H59" s="245">
        <f t="shared" si="0"/>
        <v>123.01055764954853</v>
      </c>
      <c r="I59" s="244">
        <f t="shared" si="5"/>
        <v>97721.131962469764</v>
      </c>
      <c r="J59" s="245">
        <f>SUM(I59:$I$130)</f>
        <v>3398918.2328428179</v>
      </c>
    </row>
    <row r="60" spans="1:10" ht="15.75" thickBot="1">
      <c r="A60" s="147">
        <v>50</v>
      </c>
      <c r="B60" s="315">
        <v>1.3939999999999998E-3</v>
      </c>
      <c r="C60" s="238">
        <f t="shared" si="1"/>
        <v>1.6030999999999997E-3</v>
      </c>
      <c r="D60" s="242">
        <f t="shared" si="2"/>
        <v>1.1152E-3</v>
      </c>
      <c r="E60" s="237">
        <f t="shared" si="3"/>
        <v>0.99860599999999999</v>
      </c>
      <c r="F60" s="242">
        <f t="shared" si="4"/>
        <v>33.803089495458806</v>
      </c>
      <c r="G60" s="124">
        <f t="shared" si="6"/>
        <v>97659.626683644979</v>
      </c>
      <c r="H60" s="126">
        <f t="shared" si="0"/>
        <v>136.13751959700107</v>
      </c>
      <c r="I60" s="124">
        <f t="shared" si="5"/>
        <v>97591.557923846485</v>
      </c>
      <c r="J60" s="126">
        <f>SUM(I60:$I$130)</f>
        <v>3301197.1008803481</v>
      </c>
    </row>
    <row r="61" spans="1:10" ht="15.75" thickBot="1">
      <c r="A61" s="239">
        <v>51</v>
      </c>
      <c r="B61" s="315">
        <v>3.6445000000000002E-3</v>
      </c>
      <c r="C61" s="240">
        <f t="shared" si="1"/>
        <v>4.1911750000000001E-3</v>
      </c>
      <c r="D61" s="243">
        <f t="shared" si="2"/>
        <v>2.9156000000000004E-3</v>
      </c>
      <c r="E61" s="241">
        <f t="shared" si="3"/>
        <v>0.99635549999999995</v>
      </c>
      <c r="F61" s="243">
        <f t="shared" si="4"/>
        <v>32.849578808317595</v>
      </c>
      <c r="G61" s="244">
        <f t="shared" si="6"/>
        <v>97523.489164047976</v>
      </c>
      <c r="H61" s="245">
        <f t="shared" si="0"/>
        <v>355.42435625837288</v>
      </c>
      <c r="I61" s="244">
        <f t="shared" si="5"/>
        <v>97345.776985918783</v>
      </c>
      <c r="J61" s="245">
        <f>SUM(I61:$I$130)</f>
        <v>3203605.5429565012</v>
      </c>
    </row>
    <row r="62" spans="1:10" ht="15.75" thickBot="1">
      <c r="A62" s="147">
        <v>52</v>
      </c>
      <c r="B62" s="315">
        <v>3.8829999999999997E-3</v>
      </c>
      <c r="C62" s="238">
        <f t="shared" si="1"/>
        <v>4.4654499999999993E-3</v>
      </c>
      <c r="D62" s="242">
        <f t="shared" si="2"/>
        <v>3.1064E-3</v>
      </c>
      <c r="E62" s="237">
        <f t="shared" si="3"/>
        <v>0.99611700000000003</v>
      </c>
      <c r="F62" s="242">
        <f t="shared" si="4"/>
        <v>31.967908099385806</v>
      </c>
      <c r="G62" s="124">
        <f t="shared" si="6"/>
        <v>97168.064807789604</v>
      </c>
      <c r="H62" s="126">
        <f t="shared" si="0"/>
        <v>377.30359564864699</v>
      </c>
      <c r="I62" s="124">
        <f t="shared" si="5"/>
        <v>96979.413009965283</v>
      </c>
      <c r="J62" s="126">
        <f>SUM(I62:$I$130)</f>
        <v>3106259.7659705821</v>
      </c>
    </row>
    <row r="63" spans="1:10" ht="15.75" thickBot="1">
      <c r="A63" s="239">
        <v>53</v>
      </c>
      <c r="B63" s="315">
        <v>4.1335E-3</v>
      </c>
      <c r="C63" s="240">
        <f t="shared" si="1"/>
        <v>4.7535249999999998E-3</v>
      </c>
      <c r="D63" s="243">
        <f t="shared" si="2"/>
        <v>3.3068000000000004E-3</v>
      </c>
      <c r="E63" s="241">
        <f t="shared" si="3"/>
        <v>0.99586649999999999</v>
      </c>
      <c r="F63" s="243">
        <f t="shared" si="4"/>
        <v>31.09057429939034</v>
      </c>
      <c r="G63" s="244">
        <f t="shared" si="6"/>
        <v>96790.761212140962</v>
      </c>
      <c r="H63" s="245">
        <f t="shared" si="0"/>
        <v>400.08461147038469</v>
      </c>
      <c r="I63" s="244">
        <f t="shared" si="5"/>
        <v>96590.718906405775</v>
      </c>
      <c r="J63" s="245">
        <f>SUM(I63:$I$130)</f>
        <v>3009280.3529606173</v>
      </c>
    </row>
    <row r="64" spans="1:10" ht="15.75" thickBot="1">
      <c r="A64" s="147">
        <v>54</v>
      </c>
      <c r="B64" s="315">
        <v>4.398E-3</v>
      </c>
      <c r="C64" s="238">
        <f t="shared" si="1"/>
        <v>5.0576999999999992E-3</v>
      </c>
      <c r="D64" s="242">
        <f t="shared" si="2"/>
        <v>3.5184000000000001E-3</v>
      </c>
      <c r="E64" s="237">
        <f t="shared" si="3"/>
        <v>0.99560199999999999</v>
      </c>
      <c r="F64" s="242">
        <f t="shared" si="4"/>
        <v>30.217545272775354</v>
      </c>
      <c r="G64" s="124">
        <f t="shared" si="6"/>
        <v>96390.676600670573</v>
      </c>
      <c r="H64" s="126">
        <f t="shared" si="0"/>
        <v>423.92619568974919</v>
      </c>
      <c r="I64" s="124">
        <f t="shared" si="5"/>
        <v>96178.713502825703</v>
      </c>
      <c r="J64" s="126">
        <f>SUM(I64:$I$130)</f>
        <v>2912689.634054211</v>
      </c>
    </row>
    <row r="65" spans="1:10" ht="15.75" thickBot="1">
      <c r="A65" s="239">
        <v>55</v>
      </c>
      <c r="B65" s="315">
        <v>4.6784999999999995E-3</v>
      </c>
      <c r="C65" s="240">
        <f t="shared" si="1"/>
        <v>5.3802749999999986E-3</v>
      </c>
      <c r="D65" s="243">
        <f t="shared" si="2"/>
        <v>3.7427999999999997E-3</v>
      </c>
      <c r="E65" s="241">
        <f t="shared" si="3"/>
        <v>0.99532149999999997</v>
      </c>
      <c r="F65" s="243">
        <f t="shared" si="4"/>
        <v>29.348820384827832</v>
      </c>
      <c r="G65" s="244">
        <f t="shared" si="6"/>
        <v>95966.750404980819</v>
      </c>
      <c r="H65" s="245">
        <f t="shared" si="0"/>
        <v>448.98044176970274</v>
      </c>
      <c r="I65" s="244">
        <f t="shared" si="5"/>
        <v>95742.260184095969</v>
      </c>
      <c r="J65" s="245">
        <f>SUM(I65:$I$130)</f>
        <v>2816510.9205513857</v>
      </c>
    </row>
    <row r="66" spans="1:10" ht="15.75" thickBot="1">
      <c r="A66" s="147">
        <v>56</v>
      </c>
      <c r="B66" s="315">
        <v>4.9785000000000003E-3</v>
      </c>
      <c r="C66" s="238">
        <f t="shared" si="1"/>
        <v>5.7252750000000002E-3</v>
      </c>
      <c r="D66" s="242">
        <f t="shared" si="2"/>
        <v>3.9828000000000007E-3</v>
      </c>
      <c r="E66" s="237">
        <f t="shared" si="3"/>
        <v>0.9950215</v>
      </c>
      <c r="F66" s="242">
        <f t="shared" si="4"/>
        <v>28.484424012570642</v>
      </c>
      <c r="G66" s="124">
        <f t="shared" si="6"/>
        <v>95517.769963211118</v>
      </c>
      <c r="H66" s="126">
        <f t="shared" si="0"/>
        <v>475.53521776184658</v>
      </c>
      <c r="I66" s="124">
        <f t="shared" si="5"/>
        <v>95280.002354330194</v>
      </c>
      <c r="J66" s="126">
        <f>SUM(I66:$I$130)</f>
        <v>2720768.6603672896</v>
      </c>
    </row>
    <row r="67" spans="1:10" ht="15.75" thickBot="1">
      <c r="A67" s="239">
        <v>57</v>
      </c>
      <c r="B67" s="315">
        <v>5.3030000000000004E-3</v>
      </c>
      <c r="C67" s="240">
        <f t="shared" si="1"/>
        <v>6.0984500000000001E-3</v>
      </c>
      <c r="D67" s="243">
        <f t="shared" si="2"/>
        <v>4.2424000000000003E-3</v>
      </c>
      <c r="E67" s="241">
        <f t="shared" si="3"/>
        <v>0.99469700000000005</v>
      </c>
      <c r="F67" s="243">
        <f t="shared" si="4"/>
        <v>27.624441544801435</v>
      </c>
      <c r="G67" s="244">
        <f t="shared" si="6"/>
        <v>95042.23474544927</v>
      </c>
      <c r="H67" s="245">
        <f t="shared" si="0"/>
        <v>504.00897085511752</v>
      </c>
      <c r="I67" s="244">
        <f t="shared" si="5"/>
        <v>94790.230260021708</v>
      </c>
      <c r="J67" s="245">
        <f>SUM(I67:$I$130)</f>
        <v>2625488.6580129592</v>
      </c>
    </row>
    <row r="68" spans="1:10" ht="15.75" thickBot="1">
      <c r="A68" s="147">
        <v>58</v>
      </c>
      <c r="B68" s="315">
        <v>5.6565000000000001E-3</v>
      </c>
      <c r="C68" s="238">
        <f t="shared" si="1"/>
        <v>6.5049749999999996E-3</v>
      </c>
      <c r="D68" s="242">
        <f t="shared" si="2"/>
        <v>4.5252000000000001E-3</v>
      </c>
      <c r="E68" s="237">
        <f t="shared" si="3"/>
        <v>0.99434350000000005</v>
      </c>
      <c r="F68" s="242">
        <f t="shared" si="4"/>
        <v>26.769049313309925</v>
      </c>
      <c r="G68" s="124">
        <f t="shared" si="6"/>
        <v>94538.225774594146</v>
      </c>
      <c r="H68" s="126">
        <f t="shared" si="0"/>
        <v>534.75547409399178</v>
      </c>
      <c r="I68" s="124">
        <f t="shared" si="5"/>
        <v>94270.848037547155</v>
      </c>
      <c r="J68" s="126">
        <f>SUM(I68:$I$130)</f>
        <v>2530698.4277529381</v>
      </c>
    </row>
    <row r="69" spans="1:10" ht="15.75" thickBot="1">
      <c r="A69" s="239">
        <v>59</v>
      </c>
      <c r="B69" s="315">
        <v>6.0470000000000003E-3</v>
      </c>
      <c r="C69" s="240">
        <f t="shared" si="1"/>
        <v>6.9540499999999998E-3</v>
      </c>
      <c r="D69" s="243">
        <f t="shared" si="2"/>
        <v>4.8376000000000009E-3</v>
      </c>
      <c r="E69" s="241">
        <f t="shared" si="3"/>
        <v>0.99395299999999998</v>
      </c>
      <c r="F69" s="243">
        <f t="shared" si="4"/>
        <v>25.918485476407227</v>
      </c>
      <c r="G69" s="244">
        <f t="shared" si="6"/>
        <v>94003.47030050015</v>
      </c>
      <c r="H69" s="245">
        <f t="shared" si="0"/>
        <v>568.43898490712445</v>
      </c>
      <c r="I69" s="244">
        <f t="shared" si="5"/>
        <v>93719.250808046592</v>
      </c>
      <c r="J69" s="245">
        <f>SUM(I69:$I$130)</f>
        <v>2436427.5797153912</v>
      </c>
    </row>
    <row r="70" spans="1:10" ht="15.75" thickBot="1">
      <c r="A70" s="147">
        <v>60</v>
      </c>
      <c r="B70" s="315">
        <v>6.4810000000000006E-3</v>
      </c>
      <c r="C70" s="238">
        <f t="shared" si="1"/>
        <v>7.4531500000000004E-3</v>
      </c>
      <c r="D70" s="242">
        <f t="shared" si="2"/>
        <v>5.1848000000000007E-3</v>
      </c>
      <c r="E70" s="237">
        <f t="shared" si="3"/>
        <v>0.99351900000000004</v>
      </c>
      <c r="F70" s="242">
        <f t="shared" si="4"/>
        <v>25.073126170359391</v>
      </c>
      <c r="G70" s="124">
        <f t="shared" si="6"/>
        <v>93435.03131559302</v>
      </c>
      <c r="H70" s="126">
        <f t="shared" si="0"/>
        <v>605.5524379563584</v>
      </c>
      <c r="I70" s="124">
        <f t="shared" si="5"/>
        <v>93132.255096614841</v>
      </c>
      <c r="J70" s="126">
        <f>SUM(I70:$I$130)</f>
        <v>2342708.3289073445</v>
      </c>
    </row>
    <row r="71" spans="1:10" ht="15.75" thickBot="1">
      <c r="A71" s="239">
        <v>61</v>
      </c>
      <c r="B71" s="315">
        <v>6.9649999999999998E-3</v>
      </c>
      <c r="C71" s="240">
        <f t="shared" si="1"/>
        <v>8.0097499999999995E-3</v>
      </c>
      <c r="D71" s="243">
        <f t="shared" si="2"/>
        <v>5.5720000000000006E-3</v>
      </c>
      <c r="E71" s="241">
        <f t="shared" si="3"/>
        <v>0.993035</v>
      </c>
      <c r="F71" s="243">
        <f t="shared" si="4"/>
        <v>24.233423487985014</v>
      </c>
      <c r="G71" s="244">
        <f t="shared" si="6"/>
        <v>92829.478877636662</v>
      </c>
      <c r="H71" s="245">
        <f t="shared" si="0"/>
        <v>646.55732038273936</v>
      </c>
      <c r="I71" s="244">
        <f t="shared" si="5"/>
        <v>92506.200217445294</v>
      </c>
      <c r="J71" s="245">
        <f>SUM(I71:$I$130)</f>
        <v>2249576.0738107292</v>
      </c>
    </row>
    <row r="72" spans="1:10" ht="15.75" thickBot="1">
      <c r="A72" s="147">
        <v>62</v>
      </c>
      <c r="B72" s="315">
        <v>7.5050000000000004E-3</v>
      </c>
      <c r="C72" s="238">
        <f t="shared" si="1"/>
        <v>8.6307499999999995E-3</v>
      </c>
      <c r="D72" s="242">
        <f t="shared" si="2"/>
        <v>6.0040000000000007E-3</v>
      </c>
      <c r="E72" s="237">
        <f t="shared" si="3"/>
        <v>0.99249500000000002</v>
      </c>
      <c r="F72" s="242">
        <f t="shared" si="4"/>
        <v>23.399886195335533</v>
      </c>
      <c r="G72" s="124">
        <f t="shared" si="6"/>
        <v>92182.921557253925</v>
      </c>
      <c r="H72" s="126">
        <f t="shared" si="0"/>
        <v>691.83282628719076</v>
      </c>
      <c r="I72" s="124">
        <f t="shared" si="5"/>
        <v>91837.005144110328</v>
      </c>
      <c r="J72" s="126">
        <f>SUM(I72:$I$130)</f>
        <v>2157069.8735932843</v>
      </c>
    </row>
    <row r="73" spans="1:10" ht="15.75" thickBot="1">
      <c r="A73" s="239">
        <v>63</v>
      </c>
      <c r="B73" s="315">
        <v>8.1075000000000001E-3</v>
      </c>
      <c r="C73" s="240">
        <f t="shared" si="1"/>
        <v>9.3236249999999986E-3</v>
      </c>
      <c r="D73" s="243">
        <f t="shared" si="2"/>
        <v>6.4860000000000004E-3</v>
      </c>
      <c r="E73" s="241">
        <f t="shared" si="3"/>
        <v>0.99189249999999995</v>
      </c>
      <c r="F73" s="243">
        <f t="shared" si="4"/>
        <v>22.573049431317575</v>
      </c>
      <c r="G73" s="244">
        <f t="shared" si="6"/>
        <v>91491.088730966731</v>
      </c>
      <c r="H73" s="245">
        <f t="shared" si="0"/>
        <v>741.76400188631283</v>
      </c>
      <c r="I73" s="244">
        <f t="shared" si="5"/>
        <v>91120.206730023579</v>
      </c>
      <c r="J73" s="245">
        <f>SUM(I73:$I$130)</f>
        <v>2065232.8684491743</v>
      </c>
    </row>
    <row r="74" spans="1:10" ht="15.75" thickBot="1">
      <c r="A74" s="147">
        <v>64</v>
      </c>
      <c r="B74" s="315">
        <v>8.7805000000000001E-3</v>
      </c>
      <c r="C74" s="238">
        <f t="shared" si="1"/>
        <v>1.0097574999999999E-2</v>
      </c>
      <c r="D74" s="242">
        <f t="shared" si="2"/>
        <v>7.0244000000000001E-3</v>
      </c>
      <c r="E74" s="237">
        <f t="shared" si="3"/>
        <v>0.99121950000000003</v>
      </c>
      <c r="F74" s="242">
        <f t="shared" si="4"/>
        <v>21.753469434759893</v>
      </c>
      <c r="G74" s="124">
        <f t="shared" si="6"/>
        <v>90749.324729080414</v>
      </c>
      <c r="H74" s="126">
        <f t="shared" ref="H74:H130" si="8">G74*B74</f>
        <v>796.82444578369063</v>
      </c>
      <c r="I74" s="124">
        <f t="shared" si="5"/>
        <v>90350.912506188572</v>
      </c>
      <c r="J74" s="126">
        <f>SUM(I74:$I$130)</f>
        <v>1974112.6617191508</v>
      </c>
    </row>
    <row r="75" spans="1:10" ht="15.75" thickBot="1">
      <c r="A75" s="239">
        <v>65</v>
      </c>
      <c r="B75" s="315">
        <v>9.5305000000000008E-3</v>
      </c>
      <c r="C75" s="240">
        <f t="shared" si="1"/>
        <v>1.0960075E-2</v>
      </c>
      <c r="D75" s="243">
        <f t="shared" si="2"/>
        <v>7.6244000000000008E-3</v>
      </c>
      <c r="E75" s="241">
        <f t="shared" si="3"/>
        <v>0.9904695</v>
      </c>
      <c r="F75" s="243">
        <f t="shared" si="4"/>
        <v>20.941738620719114</v>
      </c>
      <c r="G75" s="244">
        <f t="shared" si="6"/>
        <v>89952.500283296729</v>
      </c>
      <c r="H75" s="245">
        <f t="shared" si="8"/>
        <v>857.29230394995955</v>
      </c>
      <c r="I75" s="244">
        <f t="shared" si="5"/>
        <v>89523.854131321743</v>
      </c>
      <c r="J75" s="245">
        <f>SUM(I75:$I$130)</f>
        <v>1883761.7492129621</v>
      </c>
    </row>
    <row r="76" spans="1:10" ht="15.75" thickBot="1">
      <c r="A76" s="147">
        <v>66</v>
      </c>
      <c r="B76" s="315">
        <v>1.0368499999999999E-2</v>
      </c>
      <c r="C76" s="238">
        <f t="shared" si="1"/>
        <v>1.1923774999999998E-2</v>
      </c>
      <c r="D76" s="242">
        <f t="shared" si="2"/>
        <v>8.2947999999999997E-3</v>
      </c>
      <c r="E76" s="237">
        <f t="shared" si="3"/>
        <v>0.9896315</v>
      </c>
      <c r="F76" s="242">
        <f t="shared" si="4"/>
        <v>20.138433208411886</v>
      </c>
      <c r="G76" s="124">
        <f t="shared" ref="G76:G130" si="9">G75-H75</f>
        <v>89095.207979346771</v>
      </c>
      <c r="H76" s="126">
        <f t="shared" si="8"/>
        <v>923.78366393385693</v>
      </c>
      <c r="I76" s="124">
        <f t="shared" si="5"/>
        <v>88633.316147379839</v>
      </c>
      <c r="J76" s="126">
        <f>SUM(I76:$I$130)</f>
        <v>1794237.8950816407</v>
      </c>
    </row>
    <row r="77" spans="1:10" ht="15.75" thickBot="1">
      <c r="A77" s="239">
        <v>67</v>
      </c>
      <c r="B77" s="315">
        <v>1.13045E-2</v>
      </c>
      <c r="C77" s="240">
        <f t="shared" si="1"/>
        <v>1.3000174999999999E-2</v>
      </c>
      <c r="D77" s="243">
        <f t="shared" si="2"/>
        <v>9.0436000000000006E-3</v>
      </c>
      <c r="E77" s="241">
        <f t="shared" si="3"/>
        <v>0.98869549999999995</v>
      </c>
      <c r="F77" s="243">
        <f t="shared" si="4"/>
        <v>19.344187668250139</v>
      </c>
      <c r="G77" s="244">
        <f t="shared" si="9"/>
        <v>88171.424315412907</v>
      </c>
      <c r="H77" s="245">
        <f t="shared" si="8"/>
        <v>996.73386617358528</v>
      </c>
      <c r="I77" s="244">
        <f t="shared" si="5"/>
        <v>87673.057382326107</v>
      </c>
      <c r="J77" s="245">
        <f>SUM(I77:$I$130)</f>
        <v>1705604.5789342609</v>
      </c>
    </row>
    <row r="78" spans="1:10" ht="15.75" thickBot="1">
      <c r="A78" s="147">
        <v>68</v>
      </c>
      <c r="B78" s="315">
        <v>1.235E-2</v>
      </c>
      <c r="C78" s="238">
        <f t="shared" si="1"/>
        <v>1.4202499999999998E-2</v>
      </c>
      <c r="D78" s="242">
        <f t="shared" si="2"/>
        <v>9.8799999999999999E-3</v>
      </c>
      <c r="E78" s="237">
        <f t="shared" si="3"/>
        <v>0.98765000000000003</v>
      </c>
      <c r="F78" s="242">
        <f t="shared" si="4"/>
        <v>18.559647452881233</v>
      </c>
      <c r="G78" s="124">
        <f t="shared" si="9"/>
        <v>87174.690449239322</v>
      </c>
      <c r="H78" s="126">
        <f t="shared" si="8"/>
        <v>1076.6074270481056</v>
      </c>
      <c r="I78" s="124">
        <f t="shared" si="5"/>
        <v>86636.386735715263</v>
      </c>
      <c r="J78" s="126">
        <f>SUM(I78:$I$130)</f>
        <v>1617931.5215519345</v>
      </c>
    </row>
    <row r="79" spans="1:10" ht="15.75" thickBot="1">
      <c r="A79" s="239">
        <v>69</v>
      </c>
      <c r="B79" s="315">
        <v>1.3517E-2</v>
      </c>
      <c r="C79" s="240">
        <f t="shared" ref="C79:C130" si="10">B79*(1+$C$8)</f>
        <v>1.5544549999999999E-2</v>
      </c>
      <c r="D79" s="243">
        <f t="shared" ref="D79:D130" si="11">B79*(1+$D$8)</f>
        <v>1.08136E-2</v>
      </c>
      <c r="E79" s="241">
        <f t="shared" ref="E79:E130" si="12">1-B79</f>
        <v>0.986483</v>
      </c>
      <c r="F79" s="243">
        <f t="shared" ref="F79:F130" si="13">J79/G79</f>
        <v>17.785473044986819</v>
      </c>
      <c r="G79" s="244">
        <f t="shared" si="9"/>
        <v>86098.083022191218</v>
      </c>
      <c r="H79" s="245">
        <f t="shared" si="8"/>
        <v>1163.7877882109588</v>
      </c>
      <c r="I79" s="244">
        <f t="shared" ref="I79:I130" si="14">G79-0.5*H79</f>
        <v>85516.189128085738</v>
      </c>
      <c r="J79" s="245">
        <f>SUM(I79:$I$130)</f>
        <v>1531295.1348162193</v>
      </c>
    </row>
    <row r="80" spans="1:10" ht="15.75" thickBot="1">
      <c r="A80" s="147">
        <v>70</v>
      </c>
      <c r="B80" s="315">
        <v>1.4818499999999998E-2</v>
      </c>
      <c r="C80" s="238">
        <f t="shared" si="10"/>
        <v>1.7041274999999998E-2</v>
      </c>
      <c r="D80" s="242">
        <f t="shared" si="11"/>
        <v>1.1854799999999999E-2</v>
      </c>
      <c r="E80" s="237">
        <f t="shared" si="12"/>
        <v>0.98518150000000004</v>
      </c>
      <c r="F80" s="242">
        <f t="shared" si="13"/>
        <v>17.022322275180432</v>
      </c>
      <c r="G80" s="124">
        <f t="shared" si="9"/>
        <v>84934.295233980258</v>
      </c>
      <c r="H80" s="126">
        <f t="shared" si="8"/>
        <v>1258.5988539247362</v>
      </c>
      <c r="I80" s="124">
        <f t="shared" si="14"/>
        <v>84304.995807017884</v>
      </c>
      <c r="J80" s="126">
        <f>SUM(I80:$I$130)</f>
        <v>1445778.9456881334</v>
      </c>
    </row>
    <row r="81" spans="1:10" ht="15.75" thickBot="1">
      <c r="A81" s="239">
        <v>71</v>
      </c>
      <c r="B81" s="315">
        <v>1.6267E-2</v>
      </c>
      <c r="C81" s="240">
        <f t="shared" si="10"/>
        <v>1.8707049999999999E-2</v>
      </c>
      <c r="D81" s="243">
        <f t="shared" si="11"/>
        <v>1.30136E-2</v>
      </c>
      <c r="E81" s="241">
        <f t="shared" si="12"/>
        <v>0.98373299999999997</v>
      </c>
      <c r="F81" s="243">
        <f t="shared" si="13"/>
        <v>16.270840982276294</v>
      </c>
      <c r="G81" s="244">
        <f t="shared" si="9"/>
        <v>83675.696380055524</v>
      </c>
      <c r="H81" s="245">
        <f t="shared" si="8"/>
        <v>1361.1525530143633</v>
      </c>
      <c r="I81" s="244">
        <f t="shared" si="14"/>
        <v>82995.120103548339</v>
      </c>
      <c r="J81" s="245">
        <f>SUM(I81:$I$130)</f>
        <v>1361473.9498811155</v>
      </c>
    </row>
    <row r="82" spans="1:10" ht="15.75" thickBot="1">
      <c r="A82" s="147">
        <v>72</v>
      </c>
      <c r="B82" s="315">
        <v>1.7877499999999998E-2</v>
      </c>
      <c r="C82" s="238">
        <f t="shared" si="10"/>
        <v>2.0559124999999994E-2</v>
      </c>
      <c r="D82" s="242">
        <f t="shared" si="11"/>
        <v>1.4301999999999999E-2</v>
      </c>
      <c r="E82" s="237">
        <f t="shared" si="12"/>
        <v>0.98212250000000001</v>
      </c>
      <c r="F82" s="242">
        <f t="shared" si="13"/>
        <v>15.531627466270107</v>
      </c>
      <c r="G82" s="124">
        <f t="shared" si="9"/>
        <v>82314.543827041154</v>
      </c>
      <c r="H82" s="126">
        <f t="shared" si="8"/>
        <v>1471.5782572679279</v>
      </c>
      <c r="I82" s="124">
        <f t="shared" si="14"/>
        <v>81578.754698407196</v>
      </c>
      <c r="J82" s="126">
        <f>SUM(I82:$I$130)</f>
        <v>1278478.8297775669</v>
      </c>
    </row>
    <row r="83" spans="1:10" ht="15.75" thickBot="1">
      <c r="A83" s="239">
        <v>73</v>
      </c>
      <c r="B83" s="315">
        <v>1.9668499999999998E-2</v>
      </c>
      <c r="C83" s="240">
        <f t="shared" si="10"/>
        <v>2.2618774999999997E-2</v>
      </c>
      <c r="D83" s="243">
        <f t="shared" si="11"/>
        <v>1.57348E-2</v>
      </c>
      <c r="E83" s="241">
        <f t="shared" si="12"/>
        <v>0.98033150000000002</v>
      </c>
      <c r="F83" s="243">
        <f t="shared" si="13"/>
        <v>14.805247019867798</v>
      </c>
      <c r="G83" s="244">
        <f t="shared" si="9"/>
        <v>80842.965569773223</v>
      </c>
      <c r="H83" s="245">
        <f t="shared" si="8"/>
        <v>1590.0598683090845</v>
      </c>
      <c r="I83" s="244">
        <f t="shared" si="14"/>
        <v>80047.935635618676</v>
      </c>
      <c r="J83" s="245">
        <f>SUM(I83:$I$130)</f>
        <v>1196900.07507916</v>
      </c>
    </row>
    <row r="84" spans="1:10" ht="15.75" thickBot="1">
      <c r="A84" s="147">
        <v>74</v>
      </c>
      <c r="B84" s="315">
        <v>2.1661E-2</v>
      </c>
      <c r="C84" s="238">
        <f t="shared" si="10"/>
        <v>2.4910149999999999E-2</v>
      </c>
      <c r="D84" s="242">
        <f t="shared" si="11"/>
        <v>1.7328800000000002E-2</v>
      </c>
      <c r="E84" s="237">
        <f t="shared" si="12"/>
        <v>0.97833899999999996</v>
      </c>
      <c r="F84" s="242">
        <f t="shared" si="13"/>
        <v>14.092254783068579</v>
      </c>
      <c r="G84" s="124">
        <f t="shared" si="9"/>
        <v>79252.905701464144</v>
      </c>
      <c r="H84" s="126">
        <f t="shared" si="8"/>
        <v>1716.6971903994147</v>
      </c>
      <c r="I84" s="124">
        <f t="shared" si="14"/>
        <v>78394.55710626443</v>
      </c>
      <c r="J84" s="126">
        <f>SUM(I84:$I$130)</f>
        <v>1116852.1394435412</v>
      </c>
    </row>
    <row r="85" spans="1:10" ht="15.75" thickBot="1">
      <c r="A85" s="239">
        <v>75</v>
      </c>
      <c r="B85" s="315">
        <v>2.3882E-2</v>
      </c>
      <c r="C85" s="240">
        <f t="shared" si="10"/>
        <v>2.7464299999999997E-2</v>
      </c>
      <c r="D85" s="243">
        <f t="shared" si="11"/>
        <v>1.91056E-2</v>
      </c>
      <c r="E85" s="241">
        <f t="shared" si="12"/>
        <v>0.97611800000000004</v>
      </c>
      <c r="F85" s="243">
        <f t="shared" si="13"/>
        <v>13.39319528616214</v>
      </c>
      <c r="G85" s="244">
        <f t="shared" si="9"/>
        <v>77536.208511064731</v>
      </c>
      <c r="H85" s="245">
        <f t="shared" si="8"/>
        <v>1851.719731661248</v>
      </c>
      <c r="I85" s="244">
        <f t="shared" si="14"/>
        <v>76610.348645234102</v>
      </c>
      <c r="J85" s="245">
        <f>SUM(I85:$I$130)</f>
        <v>1038457.5823372769</v>
      </c>
    </row>
    <row r="86" spans="1:10" ht="15.75" thickBot="1">
      <c r="A86" s="147">
        <v>76</v>
      </c>
      <c r="B86" s="315">
        <v>2.6362999999999998E-2</v>
      </c>
      <c r="C86" s="238">
        <f t="shared" si="10"/>
        <v>3.0317449999999996E-2</v>
      </c>
      <c r="D86" s="242">
        <f t="shared" si="11"/>
        <v>2.1090399999999999E-2</v>
      </c>
      <c r="E86" s="237">
        <f t="shared" si="12"/>
        <v>0.97363699999999997</v>
      </c>
      <c r="F86" s="242">
        <f t="shared" si="13"/>
        <v>12.708644125159191</v>
      </c>
      <c r="G86" s="124">
        <f t="shared" si="9"/>
        <v>75684.488779403488</v>
      </c>
      <c r="H86" s="126">
        <f t="shared" si="8"/>
        <v>1995.2701776914139</v>
      </c>
      <c r="I86" s="124">
        <f t="shared" si="14"/>
        <v>74686.853690557778</v>
      </c>
      <c r="J86" s="126">
        <f>SUM(I86:$I$130)</f>
        <v>961847.23369204288</v>
      </c>
    </row>
    <row r="87" spans="1:10" ht="15.75" thickBot="1">
      <c r="A87" s="239">
        <v>77</v>
      </c>
      <c r="B87" s="315">
        <v>2.91445E-2</v>
      </c>
      <c r="C87" s="240">
        <f t="shared" si="10"/>
        <v>3.3516174999999995E-2</v>
      </c>
      <c r="D87" s="243">
        <f t="shared" si="11"/>
        <v>2.3315600000000002E-2</v>
      </c>
      <c r="E87" s="241">
        <f t="shared" si="12"/>
        <v>0.97085549999999998</v>
      </c>
      <c r="F87" s="243">
        <f t="shared" si="13"/>
        <v>12.039215462394294</v>
      </c>
      <c r="G87" s="244">
        <f t="shared" si="9"/>
        <v>73689.218601712069</v>
      </c>
      <c r="H87" s="245">
        <f t="shared" si="8"/>
        <v>2147.6354315375975</v>
      </c>
      <c r="I87" s="244">
        <f t="shared" si="14"/>
        <v>72615.400885943265</v>
      </c>
      <c r="J87" s="245">
        <f>SUM(I87:$I$130)</f>
        <v>887160.38000148523</v>
      </c>
    </row>
    <row r="88" spans="1:10" ht="15.75" thickBot="1">
      <c r="A88" s="147">
        <v>78</v>
      </c>
      <c r="B88" s="315">
        <v>3.2272999999999996E-2</v>
      </c>
      <c r="C88" s="238">
        <f t="shared" si="10"/>
        <v>3.7113949999999993E-2</v>
      </c>
      <c r="D88" s="242">
        <f t="shared" si="11"/>
        <v>2.5818399999999998E-2</v>
      </c>
      <c r="E88" s="237">
        <f t="shared" si="12"/>
        <v>0.967727</v>
      </c>
      <c r="F88" s="242">
        <f t="shared" si="13"/>
        <v>11.385615791839561</v>
      </c>
      <c r="G88" s="124">
        <f t="shared" si="9"/>
        <v>71541.583170174476</v>
      </c>
      <c r="H88" s="126">
        <f t="shared" si="8"/>
        <v>2308.8615136510407</v>
      </c>
      <c r="I88" s="124">
        <f t="shared" si="14"/>
        <v>70387.152413348958</v>
      </c>
      <c r="J88" s="126">
        <f>SUM(I88:$I$130)</f>
        <v>814544.97911554191</v>
      </c>
    </row>
    <row r="89" spans="1:10" ht="15.75" thickBot="1">
      <c r="A89" s="239">
        <v>79</v>
      </c>
      <c r="B89" s="315">
        <v>3.5798999999999997E-2</v>
      </c>
      <c r="C89" s="240">
        <f t="shared" si="10"/>
        <v>4.1168849999999993E-2</v>
      </c>
      <c r="D89" s="243">
        <f t="shared" si="11"/>
        <v>2.86392E-2</v>
      </c>
      <c r="E89" s="241">
        <f t="shared" si="12"/>
        <v>0.96420099999999997</v>
      </c>
      <c r="F89" s="243">
        <f t="shared" si="13"/>
        <v>10.748643255628457</v>
      </c>
      <c r="G89" s="244">
        <f t="shared" si="9"/>
        <v>69232.721656523441</v>
      </c>
      <c r="H89" s="245">
        <f t="shared" si="8"/>
        <v>2478.4622025818826</v>
      </c>
      <c r="I89" s="244">
        <f t="shared" si="14"/>
        <v>67993.490555232507</v>
      </c>
      <c r="J89" s="245">
        <f>SUM(I89:$I$130)</f>
        <v>744157.82670219289</v>
      </c>
    </row>
    <row r="90" spans="1:10" ht="15.75" thickBot="1">
      <c r="A90" s="147">
        <v>80</v>
      </c>
      <c r="B90" s="315">
        <v>3.9782999999999999E-2</v>
      </c>
      <c r="C90" s="238">
        <f t="shared" si="10"/>
        <v>4.5750449999999998E-2</v>
      </c>
      <c r="D90" s="242">
        <f t="shared" si="11"/>
        <v>3.1826399999999998E-2</v>
      </c>
      <c r="E90" s="237">
        <f t="shared" si="12"/>
        <v>0.96021699999999999</v>
      </c>
      <c r="F90" s="242">
        <f t="shared" si="13"/>
        <v>10.129156426542243</v>
      </c>
      <c r="G90" s="124">
        <f t="shared" si="9"/>
        <v>66754.259453941559</v>
      </c>
      <c r="H90" s="126">
        <f t="shared" si="8"/>
        <v>2655.6847038561568</v>
      </c>
      <c r="I90" s="124">
        <f t="shared" si="14"/>
        <v>65426.417102013482</v>
      </c>
      <c r="J90" s="126">
        <f>SUM(I90:$I$130)</f>
        <v>676164.33614696038</v>
      </c>
    </row>
    <row r="91" spans="1:10" ht="15.75" thickBot="1">
      <c r="A91" s="239">
        <v>81</v>
      </c>
      <c r="B91" s="315">
        <v>4.4288999999999995E-2</v>
      </c>
      <c r="C91" s="240">
        <f t="shared" si="10"/>
        <v>5.0932349999999987E-2</v>
      </c>
      <c r="D91" s="243">
        <f t="shared" si="11"/>
        <v>3.5431199999999996E-2</v>
      </c>
      <c r="E91" s="241">
        <f t="shared" si="12"/>
        <v>0.95571099999999998</v>
      </c>
      <c r="F91" s="243">
        <f t="shared" si="13"/>
        <v>9.52810450819163</v>
      </c>
      <c r="G91" s="244">
        <f t="shared" si="9"/>
        <v>64098.574750085405</v>
      </c>
      <c r="H91" s="245">
        <f t="shared" si="8"/>
        <v>2838.8617771065324</v>
      </c>
      <c r="I91" s="244">
        <f t="shared" si="14"/>
        <v>62679.143861532139</v>
      </c>
      <c r="J91" s="245">
        <f>SUM(I91:$I$130)</f>
        <v>610737.9190449469</v>
      </c>
    </row>
    <row r="92" spans="1:10" ht="15.75" thickBot="1">
      <c r="A92" s="147">
        <v>82</v>
      </c>
      <c r="B92" s="315">
        <v>4.9385999999999999E-2</v>
      </c>
      <c r="C92" s="238">
        <f t="shared" si="10"/>
        <v>5.6793899999999994E-2</v>
      </c>
      <c r="D92" s="242">
        <f t="shared" si="11"/>
        <v>3.9508800000000004E-2</v>
      </c>
      <c r="E92" s="237">
        <f t="shared" si="12"/>
        <v>0.95061399999999996</v>
      </c>
      <c r="F92" s="242">
        <f t="shared" si="13"/>
        <v>8.9464796451977957</v>
      </c>
      <c r="G92" s="124">
        <f t="shared" si="9"/>
        <v>61259.712972978872</v>
      </c>
      <c r="H92" s="126">
        <f t="shared" si="8"/>
        <v>3025.3721848835344</v>
      </c>
      <c r="I92" s="124">
        <f t="shared" si="14"/>
        <v>59747.026880537102</v>
      </c>
      <c r="J92" s="126">
        <f>SUM(I92:$I$130)</f>
        <v>548058.77518341481</v>
      </c>
    </row>
    <row r="93" spans="1:10" ht="15.75" thickBot="1">
      <c r="A93" s="239">
        <v>83</v>
      </c>
      <c r="B93" s="315">
        <v>5.5150500000000005E-2</v>
      </c>
      <c r="C93" s="240">
        <f t="shared" si="10"/>
        <v>6.3423074999999995E-2</v>
      </c>
      <c r="D93" s="243">
        <f t="shared" si="11"/>
        <v>4.4120400000000004E-2</v>
      </c>
      <c r="E93" s="241">
        <f t="shared" si="12"/>
        <v>0.94484950000000001</v>
      </c>
      <c r="F93" s="243">
        <f t="shared" si="13"/>
        <v>8.3852885032176996</v>
      </c>
      <c r="G93" s="244">
        <f t="shared" si="9"/>
        <v>58234.340788095338</v>
      </c>
      <c r="H93" s="245">
        <f t="shared" si="8"/>
        <v>3211.6530116338522</v>
      </c>
      <c r="I93" s="244">
        <f t="shared" si="14"/>
        <v>56628.514282278411</v>
      </c>
      <c r="J93" s="245">
        <f>SUM(I93:$I$130)</f>
        <v>488311.74830287736</v>
      </c>
    </row>
    <row r="94" spans="1:10" ht="15.75" thickBot="1">
      <c r="A94" s="147">
        <v>84</v>
      </c>
      <c r="B94" s="315">
        <v>6.1661000000000001E-2</v>
      </c>
      <c r="C94" s="238">
        <f t="shared" si="10"/>
        <v>7.0910149999999991E-2</v>
      </c>
      <c r="D94" s="242">
        <f t="shared" si="11"/>
        <v>4.9328800000000006E-2</v>
      </c>
      <c r="E94" s="237">
        <f t="shared" si="12"/>
        <v>0.93833900000000003</v>
      </c>
      <c r="F94" s="242">
        <f t="shared" si="13"/>
        <v>7.8455497443960125</v>
      </c>
      <c r="G94" s="124">
        <f t="shared" si="9"/>
        <v>55022.687776461484</v>
      </c>
      <c r="H94" s="126">
        <f t="shared" si="8"/>
        <v>3392.7539509843914</v>
      </c>
      <c r="I94" s="124">
        <f t="shared" si="14"/>
        <v>53326.310800969288</v>
      </c>
      <c r="J94" s="126">
        <f>SUM(I94:$I$130)</f>
        <v>431683.23402059899</v>
      </c>
    </row>
    <row r="95" spans="1:10" ht="15.75" thickBot="1">
      <c r="A95" s="239">
        <v>85</v>
      </c>
      <c r="B95" s="315">
        <v>6.9000499999999992E-2</v>
      </c>
      <c r="C95" s="240">
        <f t="shared" si="10"/>
        <v>7.9350574999999979E-2</v>
      </c>
      <c r="D95" s="243">
        <f t="shared" si="11"/>
        <v>5.5200399999999997E-2</v>
      </c>
      <c r="E95" s="241">
        <f t="shared" si="12"/>
        <v>0.93099949999999998</v>
      </c>
      <c r="F95" s="243">
        <f t="shared" si="13"/>
        <v>7.3282473012376261</v>
      </c>
      <c r="G95" s="244">
        <f t="shared" si="9"/>
        <v>51629.933825477092</v>
      </c>
      <c r="H95" s="245">
        <f t="shared" si="8"/>
        <v>3562.4912489248318</v>
      </c>
      <c r="I95" s="244">
        <f t="shared" si="14"/>
        <v>49848.688201014673</v>
      </c>
      <c r="J95" s="245">
        <f>SUM(I95:$I$130)</f>
        <v>378356.92321962974</v>
      </c>
    </row>
    <row r="96" spans="1:10" ht="15.75" thickBot="1">
      <c r="A96" s="147">
        <v>86</v>
      </c>
      <c r="B96" s="315">
        <v>7.7256500000000006E-2</v>
      </c>
      <c r="C96" s="238">
        <f t="shared" si="10"/>
        <v>8.8844975000000007E-2</v>
      </c>
      <c r="D96" s="242">
        <f t="shared" si="11"/>
        <v>6.1805200000000005E-2</v>
      </c>
      <c r="E96" s="237">
        <f t="shared" si="12"/>
        <v>0.92274349999999994</v>
      </c>
      <c r="F96" s="242">
        <f t="shared" si="13"/>
        <v>6.8343189778701561</v>
      </c>
      <c r="G96" s="124">
        <f t="shared" si="9"/>
        <v>48067.442576552261</v>
      </c>
      <c r="H96" s="126">
        <f t="shared" si="8"/>
        <v>3713.5223774154101</v>
      </c>
      <c r="I96" s="124">
        <f t="shared" si="14"/>
        <v>46210.681387844554</v>
      </c>
      <c r="J96" s="126">
        <f>SUM(I96:$I$130)</f>
        <v>328508.23501861509</v>
      </c>
    </row>
    <row r="97" spans="1:10" ht="15.75" thickBot="1">
      <c r="A97" s="239">
        <v>87</v>
      </c>
      <c r="B97" s="315">
        <v>8.6524999999999991E-2</v>
      </c>
      <c r="C97" s="240">
        <f t="shared" si="10"/>
        <v>9.9503749999999988E-2</v>
      </c>
      <c r="D97" s="243">
        <f t="shared" si="11"/>
        <v>6.921999999999999E-2</v>
      </c>
      <c r="E97" s="241">
        <f t="shared" si="12"/>
        <v>0.91347500000000004</v>
      </c>
      <c r="F97" s="243">
        <f t="shared" si="13"/>
        <v>6.3646584645355464</v>
      </c>
      <c r="G97" s="244">
        <f t="shared" si="9"/>
        <v>44353.920199136854</v>
      </c>
      <c r="H97" s="245">
        <f t="shared" si="8"/>
        <v>3837.7229452303159</v>
      </c>
      <c r="I97" s="244">
        <f t="shared" si="14"/>
        <v>42435.058726521696</v>
      </c>
      <c r="J97" s="245">
        <f>SUM(I97:$I$130)</f>
        <v>282297.55363077053</v>
      </c>
    </row>
    <row r="98" spans="1:10" ht="15.75" thickBot="1">
      <c r="A98" s="147">
        <v>88</v>
      </c>
      <c r="B98" s="315">
        <v>9.6910499999999997E-2</v>
      </c>
      <c r="C98" s="238">
        <f t="shared" si="10"/>
        <v>0.11144707499999999</v>
      </c>
      <c r="D98" s="242">
        <f t="shared" si="11"/>
        <v>7.7528399999999997E-2</v>
      </c>
      <c r="E98" s="237">
        <f t="shared" si="12"/>
        <v>0.90308949999999999</v>
      </c>
      <c r="F98" s="242">
        <f t="shared" si="13"/>
        <v>5.9201630745620291</v>
      </c>
      <c r="G98" s="124">
        <f t="shared" si="9"/>
        <v>40516.197253906539</v>
      </c>
      <c r="H98" s="126">
        <f t="shared" si="8"/>
        <v>3926.4449339747093</v>
      </c>
      <c r="I98" s="124">
        <f t="shared" si="14"/>
        <v>38552.974786919185</v>
      </c>
      <c r="J98" s="126">
        <f>SUM(I98:$I$130)</f>
        <v>239862.49490424898</v>
      </c>
    </row>
    <row r="99" spans="1:10" ht="15.75" thickBot="1">
      <c r="A99" s="239">
        <v>89</v>
      </c>
      <c r="B99" s="315">
        <v>0.10853099999999999</v>
      </c>
      <c r="C99" s="240">
        <f t="shared" si="10"/>
        <v>0.12481064999999998</v>
      </c>
      <c r="D99" s="243">
        <f t="shared" si="11"/>
        <v>8.6824799999999994E-2</v>
      </c>
      <c r="E99" s="241">
        <f t="shared" si="12"/>
        <v>0.89146900000000007</v>
      </c>
      <c r="F99" s="243">
        <f t="shared" si="13"/>
        <v>5.5018005685616194</v>
      </c>
      <c r="G99" s="244">
        <f t="shared" si="9"/>
        <v>36589.752319931831</v>
      </c>
      <c r="H99" s="245">
        <f t="shared" si="8"/>
        <v>3971.1224090345213</v>
      </c>
      <c r="I99" s="244">
        <f t="shared" si="14"/>
        <v>34604.191115414571</v>
      </c>
      <c r="J99" s="245">
        <f>SUM(I99:$I$130)</f>
        <v>201309.52011732978</v>
      </c>
    </row>
    <row r="100" spans="1:10" ht="15.75" thickBot="1">
      <c r="A100" s="147">
        <v>90</v>
      </c>
      <c r="B100" s="315">
        <v>0.121517</v>
      </c>
      <c r="C100" s="238">
        <f t="shared" si="10"/>
        <v>0.13974455</v>
      </c>
      <c r="D100" s="242">
        <f t="shared" si="11"/>
        <v>9.7213600000000011E-2</v>
      </c>
      <c r="E100" s="237">
        <f t="shared" si="12"/>
        <v>0.87848300000000001</v>
      </c>
      <c r="F100" s="242">
        <f t="shared" si="13"/>
        <v>5.1107397661181926</v>
      </c>
      <c r="G100" s="124">
        <f t="shared" si="9"/>
        <v>32618.629910897311</v>
      </c>
      <c r="H100" s="126">
        <f t="shared" si="8"/>
        <v>3963.7180508825086</v>
      </c>
      <c r="I100" s="124">
        <f t="shared" si="14"/>
        <v>30636.770885456055</v>
      </c>
      <c r="J100" s="126">
        <f>SUM(I100:$I$130)</f>
        <v>166705.3290019152</v>
      </c>
    </row>
    <row r="101" spans="1:10" ht="15.75" thickBot="1">
      <c r="A101" s="239">
        <v>91</v>
      </c>
      <c r="B101" s="315">
        <v>0.13553300000000001</v>
      </c>
      <c r="C101" s="240">
        <f t="shared" si="10"/>
        <v>0.15586295</v>
      </c>
      <c r="D101" s="243">
        <f t="shared" si="11"/>
        <v>0.10842640000000002</v>
      </c>
      <c r="E101" s="241">
        <f t="shared" si="12"/>
        <v>0.86446699999999999</v>
      </c>
      <c r="F101" s="243">
        <f t="shared" si="13"/>
        <v>4.7485247479099675</v>
      </c>
      <c r="G101" s="244">
        <f t="shared" si="9"/>
        <v>28654.911860014803</v>
      </c>
      <c r="H101" s="245">
        <f t="shared" si="8"/>
        <v>3883.6861691233867</v>
      </c>
      <c r="I101" s="244">
        <f t="shared" si="14"/>
        <v>26713.06877545311</v>
      </c>
      <c r="J101" s="245">
        <f>SUM(I101:$I$130)</f>
        <v>136068.55811645914</v>
      </c>
    </row>
    <row r="102" spans="1:10" ht="15.75" thickBot="1">
      <c r="A102" s="147">
        <v>92</v>
      </c>
      <c r="B102" s="315">
        <v>0.15036050000000001</v>
      </c>
      <c r="C102" s="238">
        <f t="shared" si="10"/>
        <v>0.17291457499999999</v>
      </c>
      <c r="D102" s="242">
        <f t="shared" si="11"/>
        <v>0.12028840000000002</v>
      </c>
      <c r="E102" s="237">
        <f t="shared" si="12"/>
        <v>0.84963949999999999</v>
      </c>
      <c r="F102" s="242">
        <f t="shared" si="13"/>
        <v>4.41461761745673</v>
      </c>
      <c r="G102" s="124">
        <f t="shared" si="9"/>
        <v>24771.225690891417</v>
      </c>
      <c r="H102" s="126">
        <f t="shared" si="8"/>
        <v>3724.6138804952789</v>
      </c>
      <c r="I102" s="124">
        <f t="shared" si="14"/>
        <v>22908.918750643777</v>
      </c>
      <c r="J102" s="126">
        <f>SUM(I102:$I$130)</f>
        <v>109355.48934100602</v>
      </c>
    </row>
    <row r="103" spans="1:10" ht="15.75" thickBot="1">
      <c r="A103" s="239">
        <v>93</v>
      </c>
      <c r="B103" s="315">
        <v>0.16587499999999999</v>
      </c>
      <c r="C103" s="240">
        <f t="shared" si="10"/>
        <v>0.19075624999999999</v>
      </c>
      <c r="D103" s="243">
        <f t="shared" si="11"/>
        <v>0.13270000000000001</v>
      </c>
      <c r="E103" s="241">
        <f t="shared" si="12"/>
        <v>0.83412500000000001</v>
      </c>
      <c r="F103" s="243">
        <f t="shared" si="13"/>
        <v>4.1073865650746351</v>
      </c>
      <c r="G103" s="244">
        <f t="shared" si="9"/>
        <v>21046.611810396138</v>
      </c>
      <c r="H103" s="245">
        <f t="shared" si="8"/>
        <v>3491.1067340494592</v>
      </c>
      <c r="I103" s="244">
        <f t="shared" si="14"/>
        <v>19301.05844337141</v>
      </c>
      <c r="J103" s="245">
        <f>SUM(I103:$I$130)</f>
        <v>86446.570590362244</v>
      </c>
    </row>
    <row r="104" spans="1:10" ht="15.75" thickBot="1">
      <c r="A104" s="147">
        <v>94</v>
      </c>
      <c r="B104" s="315">
        <v>0.1820225</v>
      </c>
      <c r="C104" s="238">
        <f t="shared" si="10"/>
        <v>0.20932587499999999</v>
      </c>
      <c r="D104" s="242">
        <f t="shared" si="11"/>
        <v>0.145618</v>
      </c>
      <c r="E104" s="237">
        <f t="shared" si="12"/>
        <v>0.81797750000000002</v>
      </c>
      <c r="F104" s="242">
        <f t="shared" si="13"/>
        <v>3.8247553604970892</v>
      </c>
      <c r="G104" s="124">
        <f t="shared" si="9"/>
        <v>17555.505076346679</v>
      </c>
      <c r="H104" s="126">
        <f t="shared" si="8"/>
        <v>3195.4969227593133</v>
      </c>
      <c r="I104" s="124">
        <f t="shared" si="14"/>
        <v>15957.756614967022</v>
      </c>
      <c r="J104" s="126">
        <f>SUM(I104:$I$130)</f>
        <v>67145.512146990819</v>
      </c>
    </row>
    <row r="105" spans="1:10" ht="15.75" thickBot="1">
      <c r="A105" s="239">
        <v>95</v>
      </c>
      <c r="B105" s="315">
        <v>0.19879649999999999</v>
      </c>
      <c r="C105" s="240">
        <f t="shared" si="10"/>
        <v>0.22861597499999997</v>
      </c>
      <c r="D105" s="243">
        <f t="shared" si="11"/>
        <v>0.15903719999999999</v>
      </c>
      <c r="E105" s="241">
        <f t="shared" si="12"/>
        <v>0.80120349999999996</v>
      </c>
      <c r="F105" s="243">
        <f t="shared" si="13"/>
        <v>3.5646049072218844</v>
      </c>
      <c r="G105" s="244">
        <f t="shared" si="9"/>
        <v>14360.008153587365</v>
      </c>
      <c r="H105" s="245">
        <f t="shared" si="8"/>
        <v>2854.7193609046303</v>
      </c>
      <c r="I105" s="244">
        <f t="shared" si="14"/>
        <v>12932.64847313505</v>
      </c>
      <c r="J105" s="245">
        <f>SUM(I105:$I$130)</f>
        <v>51187.755532023795</v>
      </c>
    </row>
    <row r="106" spans="1:10" ht="15.75" thickBot="1">
      <c r="A106" s="147">
        <v>96</v>
      </c>
      <c r="B106" s="315">
        <v>0.21621899999999999</v>
      </c>
      <c r="C106" s="238">
        <f t="shared" si="10"/>
        <v>0.24865184999999998</v>
      </c>
      <c r="D106" s="242">
        <f t="shared" si="11"/>
        <v>0.1729752</v>
      </c>
      <c r="E106" s="237">
        <f t="shared" si="12"/>
        <v>0.78378100000000006</v>
      </c>
      <c r="F106" s="242">
        <f t="shared" si="13"/>
        <v>3.3250018967988586</v>
      </c>
      <c r="G106" s="124">
        <f t="shared" si="9"/>
        <v>11505.288792682735</v>
      </c>
      <c r="H106" s="126">
        <f t="shared" si="8"/>
        <v>2487.6620374650684</v>
      </c>
      <c r="I106" s="124">
        <f t="shared" si="14"/>
        <v>10261.457773950202</v>
      </c>
      <c r="J106" s="126">
        <f>SUM(I106:$I$130)</f>
        <v>38255.107058888745</v>
      </c>
    </row>
    <row r="107" spans="1:10" ht="15.75" thickBot="1">
      <c r="A107" s="239">
        <v>97</v>
      </c>
      <c r="B107" s="315">
        <v>0.23431199999999999</v>
      </c>
      <c r="C107" s="240">
        <f t="shared" si="10"/>
        <v>0.2694588</v>
      </c>
      <c r="D107" s="243">
        <f t="shared" si="11"/>
        <v>0.18744959999999999</v>
      </c>
      <c r="E107" s="241">
        <f t="shared" si="12"/>
        <v>0.76568800000000004</v>
      </c>
      <c r="F107" s="243">
        <f t="shared" si="13"/>
        <v>3.1043255664514167</v>
      </c>
      <c r="G107" s="244">
        <f t="shared" si="9"/>
        <v>9017.6267552176669</v>
      </c>
      <c r="H107" s="245">
        <f t="shared" si="8"/>
        <v>2112.9381602685621</v>
      </c>
      <c r="I107" s="244">
        <f t="shared" si="14"/>
        <v>7961.1576750833856</v>
      </c>
      <c r="J107" s="245">
        <f>SUM(I107:$I$130)</f>
        <v>27993.649284938536</v>
      </c>
    </row>
    <row r="108" spans="1:10" ht="15.75" thickBot="1">
      <c r="A108" s="147">
        <v>98</v>
      </c>
      <c r="B108" s="315">
        <v>0.25308050000000004</v>
      </c>
      <c r="C108" s="238">
        <f t="shared" si="10"/>
        <v>0.29104257500000003</v>
      </c>
      <c r="D108" s="242">
        <f t="shared" si="11"/>
        <v>0.20246440000000004</v>
      </c>
      <c r="E108" s="237">
        <f t="shared" si="12"/>
        <v>0.74691949999999996</v>
      </c>
      <c r="F108" s="242">
        <f t="shared" si="13"/>
        <v>2.9012882093638885</v>
      </c>
      <c r="G108" s="124">
        <f t="shared" si="9"/>
        <v>6904.6885949491043</v>
      </c>
      <c r="H108" s="126">
        <f t="shared" si="8"/>
        <v>1747.442041954017</v>
      </c>
      <c r="I108" s="124">
        <f t="shared" si="14"/>
        <v>6030.967573972096</v>
      </c>
      <c r="J108" s="126">
        <f>SUM(I108:$I$130)</f>
        <v>20032.491609855151</v>
      </c>
    </row>
    <row r="109" spans="1:10" ht="15.75" thickBot="1">
      <c r="A109" s="239">
        <v>99</v>
      </c>
      <c r="B109" s="315">
        <v>0.27248549999999999</v>
      </c>
      <c r="C109" s="240">
        <f t="shared" si="10"/>
        <v>0.31335832499999999</v>
      </c>
      <c r="D109" s="243">
        <f t="shared" si="11"/>
        <v>0.2179884</v>
      </c>
      <c r="E109" s="241">
        <f t="shared" si="12"/>
        <v>0.72751450000000006</v>
      </c>
      <c r="F109" s="243">
        <f t="shared" si="13"/>
        <v>2.7149223703007999</v>
      </c>
      <c r="G109" s="244">
        <f t="shared" si="9"/>
        <v>5157.2465529950878</v>
      </c>
      <c r="H109" s="245">
        <f t="shared" si="8"/>
        <v>1405.2749056161429</v>
      </c>
      <c r="I109" s="244">
        <f t="shared" si="14"/>
        <v>4454.6091001870163</v>
      </c>
      <c r="J109" s="245">
        <f>SUM(I109:$I$130)</f>
        <v>14001.524035883052</v>
      </c>
    </row>
    <row r="110" spans="1:10" ht="15.75" thickBot="1">
      <c r="A110" s="147">
        <v>100</v>
      </c>
      <c r="B110" s="315">
        <v>0.29242299999999999</v>
      </c>
      <c r="C110" s="238">
        <f t="shared" si="10"/>
        <v>0.33628644999999996</v>
      </c>
      <c r="D110" s="242">
        <f t="shared" si="11"/>
        <v>0.23393839999999999</v>
      </c>
      <c r="E110" s="237">
        <f t="shared" si="12"/>
        <v>0.70757700000000001</v>
      </c>
      <c r="F110" s="242">
        <f t="shared" si="13"/>
        <v>2.5445061511499762</v>
      </c>
      <c r="G110" s="124">
        <f t="shared" si="9"/>
        <v>3751.9716473789449</v>
      </c>
      <c r="H110" s="126">
        <f t="shared" si="8"/>
        <v>1097.1628050414931</v>
      </c>
      <c r="I110" s="124">
        <f t="shared" si="14"/>
        <v>3203.3902448581985</v>
      </c>
      <c r="J110" s="126">
        <f>SUM(I110:$I$130)</f>
        <v>9546.9149356960352</v>
      </c>
    </row>
    <row r="111" spans="1:10" ht="15.75" thickBot="1">
      <c r="A111" s="239">
        <v>101</v>
      </c>
      <c r="B111" s="315">
        <v>0.31270249999999999</v>
      </c>
      <c r="C111" s="240">
        <f t="shared" si="10"/>
        <v>0.35960787499999997</v>
      </c>
      <c r="D111" s="243">
        <f t="shared" si="11"/>
        <v>0.250162</v>
      </c>
      <c r="E111" s="241">
        <f t="shared" si="12"/>
        <v>0.68729750000000001</v>
      </c>
      <c r="F111" s="243">
        <f t="shared" si="13"/>
        <v>2.3894468745450705</v>
      </c>
      <c r="G111" s="244">
        <f t="shared" si="9"/>
        <v>2654.808842337452</v>
      </c>
      <c r="H111" s="245">
        <f t="shared" si="8"/>
        <v>830.16536202102702</v>
      </c>
      <c r="I111" s="244">
        <f t="shared" si="14"/>
        <v>2239.7261613269384</v>
      </c>
      <c r="J111" s="245">
        <f>SUM(I111:$I$130)</f>
        <v>6343.5246908378413</v>
      </c>
    </row>
    <row r="112" spans="1:10" ht="15.75" thickBot="1">
      <c r="A112" s="147">
        <v>102</v>
      </c>
      <c r="B112" s="315">
        <v>0.33302149999999997</v>
      </c>
      <c r="C112" s="238">
        <f t="shared" si="10"/>
        <v>0.38297472499999996</v>
      </c>
      <c r="D112" s="242">
        <f t="shared" si="11"/>
        <v>0.26641719999999997</v>
      </c>
      <c r="E112" s="237">
        <f t="shared" si="12"/>
        <v>0.66697850000000003</v>
      </c>
      <c r="F112" s="242">
        <f t="shared" si="13"/>
        <v>2.2490960967340485</v>
      </c>
      <c r="G112" s="124">
        <f t="shared" si="9"/>
        <v>1824.643480316425</v>
      </c>
      <c r="H112" s="126">
        <f t="shared" si="8"/>
        <v>607.64550878019622</v>
      </c>
      <c r="I112" s="124">
        <f t="shared" si="14"/>
        <v>1520.8207259263268</v>
      </c>
      <c r="J112" s="126">
        <f>SUM(I112:$I$130)</f>
        <v>4103.7985295109011</v>
      </c>
    </row>
    <row r="113" spans="1:10" ht="15.75" thickBot="1">
      <c r="A113" s="239">
        <v>103</v>
      </c>
      <c r="B113" s="315">
        <v>0.35321199999999997</v>
      </c>
      <c r="C113" s="240">
        <f t="shared" si="10"/>
        <v>0.40619379999999994</v>
      </c>
      <c r="D113" s="243">
        <f t="shared" si="11"/>
        <v>0.28256959999999998</v>
      </c>
      <c r="E113" s="241">
        <f t="shared" si="12"/>
        <v>0.64678800000000003</v>
      </c>
      <c r="F113" s="243">
        <f t="shared" si="13"/>
        <v>2.122417509311092</v>
      </c>
      <c r="G113" s="244">
        <f t="shared" si="9"/>
        <v>1216.9979715362288</v>
      </c>
      <c r="H113" s="245">
        <f t="shared" si="8"/>
        <v>429.85828752225439</v>
      </c>
      <c r="I113" s="244">
        <f t="shared" si="14"/>
        <v>1002.0688277751016</v>
      </c>
      <c r="J113" s="245">
        <f>SUM(I113:$I$130)</f>
        <v>2582.9778035845738</v>
      </c>
    </row>
    <row r="114" spans="1:10" ht="15.75" thickBot="1">
      <c r="A114" s="147">
        <v>104</v>
      </c>
      <c r="B114" s="315">
        <v>0.37310699999999997</v>
      </c>
      <c r="C114" s="238">
        <f t="shared" si="10"/>
        <v>0.42907304999999996</v>
      </c>
      <c r="D114" s="242">
        <f t="shared" si="11"/>
        <v>0.29848559999999996</v>
      </c>
      <c r="E114" s="237">
        <f t="shared" si="12"/>
        <v>0.62689300000000003</v>
      </c>
      <c r="F114" s="242">
        <f t="shared" si="13"/>
        <v>2.0084224031848019</v>
      </c>
      <c r="G114" s="124">
        <f t="shared" si="9"/>
        <v>787.13968401397437</v>
      </c>
      <c r="H114" s="126">
        <f t="shared" si="8"/>
        <v>293.6873260834019</v>
      </c>
      <c r="I114" s="124">
        <f t="shared" si="14"/>
        <v>640.29602097227348</v>
      </c>
      <c r="J114" s="126">
        <f>SUM(I114:$I$130)</f>
        <v>1580.9089758094719</v>
      </c>
    </row>
    <row r="115" spans="1:10" ht="15.75" thickBot="1">
      <c r="A115" s="239">
        <v>105</v>
      </c>
      <c r="B115" s="315">
        <v>0.39255200000000001</v>
      </c>
      <c r="C115" s="240">
        <f t="shared" si="10"/>
        <v>0.45143479999999997</v>
      </c>
      <c r="D115" s="243">
        <f t="shared" si="11"/>
        <v>0.31404160000000003</v>
      </c>
      <c r="E115" s="241">
        <f t="shared" si="12"/>
        <v>0.60744799999999999</v>
      </c>
      <c r="F115" s="243">
        <f t="shared" si="13"/>
        <v>1.9061879829329753</v>
      </c>
      <c r="G115" s="244">
        <f t="shared" si="9"/>
        <v>493.45235793057248</v>
      </c>
      <c r="H115" s="245">
        <f t="shared" si="8"/>
        <v>193.70571001036208</v>
      </c>
      <c r="I115" s="244">
        <f t="shared" si="14"/>
        <v>396.59950292539145</v>
      </c>
      <c r="J115" s="245">
        <f>SUM(I115:$I$130)</f>
        <v>940.61295483719846</v>
      </c>
    </row>
    <row r="116" spans="1:10" ht="15.75" thickBot="1">
      <c r="A116" s="147">
        <v>106</v>
      </c>
      <c r="B116" s="315">
        <v>0.41140299999999996</v>
      </c>
      <c r="C116" s="238">
        <f t="shared" si="10"/>
        <v>0.47311344999999994</v>
      </c>
      <c r="D116" s="242">
        <f t="shared" si="11"/>
        <v>0.32912239999999998</v>
      </c>
      <c r="E116" s="237">
        <f t="shared" si="12"/>
        <v>0.58859700000000004</v>
      </c>
      <c r="F116" s="242">
        <f t="shared" si="13"/>
        <v>1.8149108778578167</v>
      </c>
      <c r="G116" s="124">
        <f t="shared" si="9"/>
        <v>299.74664792021042</v>
      </c>
      <c r="H116" s="126">
        <f t="shared" si="8"/>
        <v>123.31667019431832</v>
      </c>
      <c r="I116" s="124">
        <f t="shared" si="14"/>
        <v>238.08831282305127</v>
      </c>
      <c r="J116" s="126">
        <f>SUM(I116:$I$130)</f>
        <v>544.01345191180701</v>
      </c>
    </row>
    <row r="117" spans="1:10" ht="15.75" thickBot="1">
      <c r="A117" s="239">
        <v>107</v>
      </c>
      <c r="B117" s="315">
        <v>0.42953799999999998</v>
      </c>
      <c r="C117" s="240">
        <f t="shared" si="10"/>
        <v>0.49396869999999993</v>
      </c>
      <c r="D117" s="243">
        <f t="shared" si="11"/>
        <v>0.3436304</v>
      </c>
      <c r="E117" s="241">
        <f t="shared" si="12"/>
        <v>0.57046200000000002</v>
      </c>
      <c r="F117" s="243">
        <f t="shared" si="13"/>
        <v>1.7339748212407071</v>
      </c>
      <c r="G117" s="244">
        <f t="shared" si="9"/>
        <v>176.42997772589212</v>
      </c>
      <c r="H117" s="245">
        <f t="shared" si="8"/>
        <v>75.78337977242424</v>
      </c>
      <c r="I117" s="244">
        <f t="shared" si="14"/>
        <v>138.53828783967998</v>
      </c>
      <c r="J117" s="245">
        <f>SUM(I117:$I$130)</f>
        <v>305.92513908875571</v>
      </c>
    </row>
    <row r="118" spans="1:10" ht="15.75" thickBot="1">
      <c r="A118" s="147">
        <v>108</v>
      </c>
      <c r="B118" s="315">
        <v>0.44685200000000003</v>
      </c>
      <c r="C118" s="238">
        <f t="shared" si="10"/>
        <v>0.5138798</v>
      </c>
      <c r="D118" s="242">
        <f t="shared" si="11"/>
        <v>0.35748160000000007</v>
      </c>
      <c r="E118" s="237">
        <f t="shared" si="12"/>
        <v>0.55314799999999997</v>
      </c>
      <c r="F118" s="242">
        <f t="shared" si="13"/>
        <v>1.6631148459331335</v>
      </c>
      <c r="G118" s="124">
        <f t="shared" si="9"/>
        <v>100.64659795346788</v>
      </c>
      <c r="H118" s="126">
        <f t="shared" si="8"/>
        <v>44.974133588703033</v>
      </c>
      <c r="I118" s="124">
        <f t="shared" si="14"/>
        <v>78.159531159116355</v>
      </c>
      <c r="J118" s="126">
        <f>SUM(I118:$I$130)</f>
        <v>167.38685124907576</v>
      </c>
    </row>
    <row r="119" spans="1:10" ht="15.75" thickBot="1">
      <c r="A119" s="239">
        <v>109</v>
      </c>
      <c r="B119" s="315">
        <v>0.4632655</v>
      </c>
      <c r="C119" s="240">
        <f t="shared" si="10"/>
        <v>0.532755325</v>
      </c>
      <c r="D119" s="243">
        <f t="shared" si="11"/>
        <v>0.37061240000000001</v>
      </c>
      <c r="E119" s="241">
        <f t="shared" si="12"/>
        <v>0.5367345</v>
      </c>
      <c r="F119" s="243">
        <f t="shared" si="13"/>
        <v>1.6027190660241637</v>
      </c>
      <c r="G119" s="244">
        <f t="shared" si="9"/>
        <v>55.672464364764842</v>
      </c>
      <c r="H119" s="245">
        <f t="shared" si="8"/>
        <v>25.791132040174968</v>
      </c>
      <c r="I119" s="244">
        <f t="shared" si="14"/>
        <v>42.776898344677356</v>
      </c>
      <c r="J119" s="245">
        <f>SUM(I119:$I$130)</f>
        <v>89.227320089959449</v>
      </c>
    </row>
    <row r="120" spans="1:10" ht="15.75" thickBot="1">
      <c r="A120" s="147">
        <v>110</v>
      </c>
      <c r="B120" s="315">
        <v>0.47871849999999999</v>
      </c>
      <c r="C120" s="238">
        <f t="shared" si="10"/>
        <v>0.55052627499999995</v>
      </c>
      <c r="D120" s="242">
        <f t="shared" si="11"/>
        <v>0.3829748</v>
      </c>
      <c r="E120" s="237">
        <f t="shared" si="12"/>
        <v>0.52128149999999995</v>
      </c>
      <c r="F120" s="242">
        <f t="shared" si="13"/>
        <v>1.5544963404144196</v>
      </c>
      <c r="G120" s="124">
        <f t="shared" si="9"/>
        <v>29.881332324589874</v>
      </c>
      <c r="H120" s="126">
        <f t="shared" si="8"/>
        <v>14.304746588429177</v>
      </c>
      <c r="I120" s="124">
        <f t="shared" si="14"/>
        <v>22.728959030375286</v>
      </c>
      <c r="J120" s="126">
        <f>SUM(I120:$I$130)</f>
        <v>46.450421745282064</v>
      </c>
    </row>
    <row r="121" spans="1:10" ht="15.75" thickBot="1">
      <c r="A121" s="239">
        <v>111</v>
      </c>
      <c r="B121" s="315">
        <v>0.48930200000000001</v>
      </c>
      <c r="C121" s="240">
        <f t="shared" si="10"/>
        <v>0.56269729999999996</v>
      </c>
      <c r="D121" s="243">
        <f t="shared" si="11"/>
        <v>0.39144160000000006</v>
      </c>
      <c r="E121" s="241">
        <f t="shared" si="12"/>
        <v>0.51069799999999999</v>
      </c>
      <c r="F121" s="243">
        <f t="shared" si="13"/>
        <v>1.522892315216289</v>
      </c>
      <c r="G121" s="244">
        <f t="shared" si="9"/>
        <v>15.576585736160697</v>
      </c>
      <c r="H121" s="245">
        <f t="shared" si="8"/>
        <v>7.621654553874901</v>
      </c>
      <c r="I121" s="244">
        <f t="shared" si="14"/>
        <v>11.765758459223246</v>
      </c>
      <c r="J121" s="245">
        <f>SUM(I121:$I$130)</f>
        <v>23.721462714906785</v>
      </c>
    </row>
    <row r="122" spans="1:10" ht="15.75" thickBot="1">
      <c r="A122" s="147">
        <v>112</v>
      </c>
      <c r="B122" s="315">
        <v>0.49656849999999997</v>
      </c>
      <c r="C122" s="238">
        <f t="shared" si="10"/>
        <v>0.57105377499999987</v>
      </c>
      <c r="D122" s="242">
        <f t="shared" si="11"/>
        <v>0.39725480000000002</v>
      </c>
      <c r="E122" s="237">
        <f t="shared" si="12"/>
        <v>0.50343150000000003</v>
      </c>
      <c r="F122" s="242">
        <f t="shared" si="13"/>
        <v>1.5029299414062498</v>
      </c>
      <c r="G122" s="124">
        <f t="shared" si="9"/>
        <v>7.9549311822857955</v>
      </c>
      <c r="H122" s="126">
        <f t="shared" si="8"/>
        <v>3.9501682447908837</v>
      </c>
      <c r="I122" s="124">
        <f t="shared" si="14"/>
        <v>5.9798470598903535</v>
      </c>
      <c r="J122" s="126">
        <f>SUM(I122:$I$130)</f>
        <v>11.955704255683541</v>
      </c>
    </row>
    <row r="123" spans="1:10" ht="15.75" thickBot="1">
      <c r="A123" s="239">
        <v>113</v>
      </c>
      <c r="B123" s="315">
        <v>0.5</v>
      </c>
      <c r="C123" s="240">
        <f t="shared" si="10"/>
        <v>0.57499999999999996</v>
      </c>
      <c r="D123" s="243">
        <f t="shared" si="11"/>
        <v>0.4</v>
      </c>
      <c r="E123" s="241">
        <f t="shared" si="12"/>
        <v>0.5</v>
      </c>
      <c r="F123" s="243">
        <f t="shared" si="13"/>
        <v>1.4921874999999998</v>
      </c>
      <c r="G123" s="244">
        <f t="shared" si="9"/>
        <v>4.0047629374949114</v>
      </c>
      <c r="H123" s="245">
        <f t="shared" si="8"/>
        <v>2.0023814687474557</v>
      </c>
      <c r="I123" s="244">
        <f t="shared" si="14"/>
        <v>3.0035722031211836</v>
      </c>
      <c r="J123" s="245">
        <f>SUM(I123:$I$130)</f>
        <v>5.9758571957931874</v>
      </c>
    </row>
    <row r="124" spans="1:10" ht="15.75" thickBot="1">
      <c r="A124" s="147">
        <v>114</v>
      </c>
      <c r="B124" s="315">
        <v>0.5</v>
      </c>
      <c r="C124" s="238">
        <f t="shared" si="10"/>
        <v>0.57499999999999996</v>
      </c>
      <c r="D124" s="242">
        <f t="shared" si="11"/>
        <v>0.4</v>
      </c>
      <c r="E124" s="237">
        <f t="shared" si="12"/>
        <v>0.5</v>
      </c>
      <c r="F124" s="242">
        <f t="shared" si="13"/>
        <v>1.4843749999999998</v>
      </c>
      <c r="G124" s="124">
        <f t="shared" si="9"/>
        <v>2.0023814687474557</v>
      </c>
      <c r="H124" s="126">
        <f t="shared" si="8"/>
        <v>1.0011907343737279</v>
      </c>
      <c r="I124" s="124">
        <f t="shared" si="14"/>
        <v>1.5017861015605918</v>
      </c>
      <c r="J124" s="126">
        <f>SUM(I124:$I$130)</f>
        <v>2.9722849926720043</v>
      </c>
    </row>
    <row r="125" spans="1:10" ht="15.75" thickBot="1">
      <c r="A125" s="239">
        <v>115</v>
      </c>
      <c r="B125" s="315">
        <v>0.5</v>
      </c>
      <c r="C125" s="240">
        <f t="shared" si="10"/>
        <v>0.57499999999999996</v>
      </c>
      <c r="D125" s="243">
        <f t="shared" si="11"/>
        <v>0.4</v>
      </c>
      <c r="E125" s="241">
        <f t="shared" si="12"/>
        <v>0.5</v>
      </c>
      <c r="F125" s="243">
        <f t="shared" si="13"/>
        <v>1.4687499999999998</v>
      </c>
      <c r="G125" s="244">
        <f t="shared" si="9"/>
        <v>1.0011907343737279</v>
      </c>
      <c r="H125" s="245">
        <f t="shared" si="8"/>
        <v>0.50059536718686393</v>
      </c>
      <c r="I125" s="244">
        <f t="shared" si="14"/>
        <v>0.75089305078029589</v>
      </c>
      <c r="J125" s="245">
        <f>SUM(I125:$I$130)</f>
        <v>1.4704988911114125</v>
      </c>
    </row>
    <row r="126" spans="1:10" ht="15.75" thickBot="1">
      <c r="A126" s="147">
        <v>116</v>
      </c>
      <c r="B126" s="315">
        <v>0.5</v>
      </c>
      <c r="C126" s="238">
        <f t="shared" si="10"/>
        <v>0.57499999999999996</v>
      </c>
      <c r="D126" s="242">
        <f t="shared" si="11"/>
        <v>0.4</v>
      </c>
      <c r="E126" s="237">
        <f t="shared" si="12"/>
        <v>0.5</v>
      </c>
      <c r="F126" s="242">
        <f t="shared" si="13"/>
        <v>1.4375</v>
      </c>
      <c r="G126" s="124">
        <f t="shared" si="9"/>
        <v>0.50059536718686393</v>
      </c>
      <c r="H126" s="126">
        <f t="shared" si="8"/>
        <v>0.25029768359343196</v>
      </c>
      <c r="I126" s="124">
        <f t="shared" si="14"/>
        <v>0.37544652539014794</v>
      </c>
      <c r="J126" s="126">
        <f>SUM(I126:$I$130)</f>
        <v>0.71960584033111685</v>
      </c>
    </row>
    <row r="127" spans="1:10" ht="15.75" thickBot="1">
      <c r="A127" s="239">
        <v>117</v>
      </c>
      <c r="B127" s="315">
        <v>0.5</v>
      </c>
      <c r="C127" s="240">
        <f t="shared" si="10"/>
        <v>0.57499999999999996</v>
      </c>
      <c r="D127" s="243">
        <f t="shared" si="11"/>
        <v>0.4</v>
      </c>
      <c r="E127" s="241">
        <f t="shared" si="12"/>
        <v>0.5</v>
      </c>
      <c r="F127" s="243">
        <f t="shared" si="13"/>
        <v>1.375</v>
      </c>
      <c r="G127" s="244">
        <f t="shared" si="9"/>
        <v>0.25029768359343196</v>
      </c>
      <c r="H127" s="245">
        <f t="shared" si="8"/>
        <v>0.12514884179671598</v>
      </c>
      <c r="I127" s="244">
        <f t="shared" si="14"/>
        <v>0.18772326269507397</v>
      </c>
      <c r="J127" s="245">
        <f>SUM(I127:$I$130)</f>
        <v>0.34415931494096896</v>
      </c>
    </row>
    <row r="128" spans="1:10" ht="15.75" thickBot="1">
      <c r="A128" s="147">
        <v>118</v>
      </c>
      <c r="B128" s="315">
        <v>0.5</v>
      </c>
      <c r="C128" s="238">
        <f t="shared" si="10"/>
        <v>0.57499999999999996</v>
      </c>
      <c r="D128" s="242">
        <f t="shared" si="11"/>
        <v>0.4</v>
      </c>
      <c r="E128" s="237">
        <f t="shared" si="12"/>
        <v>0.5</v>
      </c>
      <c r="F128" s="242">
        <f t="shared" si="13"/>
        <v>1.25</v>
      </c>
      <c r="G128" s="124">
        <f t="shared" si="9"/>
        <v>0.12514884179671598</v>
      </c>
      <c r="H128" s="126">
        <f t="shared" si="8"/>
        <v>6.2574420898357991E-2</v>
      </c>
      <c r="I128" s="124">
        <f t="shared" si="14"/>
        <v>9.3861631347536986E-2</v>
      </c>
      <c r="J128" s="126">
        <f>SUM(I128:$I$130)</f>
        <v>0.15643605224589496</v>
      </c>
    </row>
    <row r="129" spans="1:10" ht="15.75" thickBot="1">
      <c r="A129" s="239">
        <v>119</v>
      </c>
      <c r="B129" s="315">
        <v>0.5</v>
      </c>
      <c r="C129" s="240">
        <f t="shared" si="10"/>
        <v>0.57499999999999996</v>
      </c>
      <c r="D129" s="243">
        <f t="shared" si="11"/>
        <v>0.4</v>
      </c>
      <c r="E129" s="241">
        <f t="shared" si="12"/>
        <v>0.5</v>
      </c>
      <c r="F129" s="243">
        <f t="shared" si="13"/>
        <v>1</v>
      </c>
      <c r="G129" s="244">
        <f t="shared" si="9"/>
        <v>6.2574420898357991E-2</v>
      </c>
      <c r="H129" s="245">
        <f t="shared" si="8"/>
        <v>3.1287210449178995E-2</v>
      </c>
      <c r="I129" s="244">
        <f t="shared" si="14"/>
        <v>4.6930815673768493E-2</v>
      </c>
      <c r="J129" s="245">
        <f>SUM(I129:$I$130)</f>
        <v>6.2574420898357991E-2</v>
      </c>
    </row>
    <row r="130" spans="1:10" ht="15.75" thickBot="1">
      <c r="A130" s="147">
        <v>120</v>
      </c>
      <c r="B130" s="315">
        <v>1</v>
      </c>
      <c r="C130" s="238">
        <f t="shared" si="10"/>
        <v>1.1499999999999999</v>
      </c>
      <c r="D130" s="242">
        <f t="shared" si="11"/>
        <v>0.8</v>
      </c>
      <c r="E130" s="237">
        <f t="shared" si="12"/>
        <v>0</v>
      </c>
      <c r="F130" s="242">
        <f t="shared" si="13"/>
        <v>0.5</v>
      </c>
      <c r="G130" s="124">
        <f t="shared" si="9"/>
        <v>3.1287210449178995E-2</v>
      </c>
      <c r="H130" s="126">
        <f t="shared" si="8"/>
        <v>3.1287210449178995E-2</v>
      </c>
      <c r="I130" s="124">
        <f t="shared" si="14"/>
        <v>1.5643605224589498E-2</v>
      </c>
      <c r="J130" s="126">
        <f>SUM(I130:$I$130)</f>
        <v>1.5643605224589498E-2</v>
      </c>
    </row>
  </sheetData>
  <protectedRanges>
    <protectedRange algorithmName="SHA-512" hashValue="5CSXftKGnXqdk40SYvR31eOOYmRgnMzJfOwc3A/OvfECaiWQdry2Avr/6bw4wlni9BMOmaESvn9wPxDk59IOZA==" saltValue="qklaIoLIJ7BVa76axICThQ==" spinCount="100000" sqref="C8:D8 B10:B130" name="mortality"/>
  </protectedRanges>
  <mergeCells count="1">
    <mergeCell ref="A6:J6"/>
  </mergeCell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E7EA6C-718D-4213-BBA3-A6255B7ECE93}">
  <sheetPr codeName="Sheet6">
    <tabColor rgb="FF002060"/>
  </sheetPr>
  <dimension ref="A1:V56"/>
  <sheetViews>
    <sheetView showGridLines="0" workbookViewId="0">
      <pane xSplit="1" ySplit="7" topLeftCell="B8" activePane="bottomRight" state="frozen"/>
      <selection activeCell="A2" sqref="A2"/>
      <selection pane="topRight" activeCell="A2" sqref="A2"/>
      <selection pane="bottomLeft" activeCell="A2" sqref="A2"/>
      <selection pane="bottomRight" activeCell="B8" sqref="B8"/>
    </sheetView>
  </sheetViews>
  <sheetFormatPr defaultColWidth="8.5703125" defaultRowHeight="15"/>
  <cols>
    <col min="1" max="1" width="55.42578125" bestFit="1" customWidth="1"/>
    <col min="2" max="2" width="16.42578125" bestFit="1" customWidth="1"/>
    <col min="3" max="3" width="11" bestFit="1" customWidth="1"/>
    <col min="4" max="4" width="12" bestFit="1" customWidth="1"/>
    <col min="5" max="5" width="2.140625" customWidth="1"/>
    <col min="6" max="8" width="12" customWidth="1"/>
    <col min="9" max="9" width="2.5703125" customWidth="1"/>
    <col min="10" max="12" width="12" customWidth="1"/>
    <col min="13" max="13" width="13" customWidth="1"/>
  </cols>
  <sheetData>
    <row r="1" spans="1:22">
      <c r="A1" s="3" t="s">
        <v>448</v>
      </c>
      <c r="B1" s="4"/>
      <c r="C1" s="4"/>
      <c r="D1" s="4"/>
      <c r="E1" s="4"/>
      <c r="F1" s="4"/>
      <c r="G1" s="4"/>
      <c r="H1" s="4"/>
      <c r="I1" s="4"/>
      <c r="J1" s="4"/>
      <c r="K1" s="4"/>
      <c r="L1" s="4"/>
      <c r="M1" s="4"/>
      <c r="N1" s="4"/>
      <c r="O1" s="4"/>
      <c r="P1" s="4"/>
      <c r="Q1" s="4"/>
      <c r="R1" s="4"/>
      <c r="S1" s="4"/>
      <c r="T1" s="4"/>
      <c r="U1" s="4"/>
      <c r="V1" s="4"/>
    </row>
    <row r="2" spans="1:22">
      <c r="A2" s="1" t="s">
        <v>512</v>
      </c>
    </row>
    <row r="3" spans="1:22" ht="15.75" thickBot="1">
      <c r="A3" s="5" t="s">
        <v>511</v>
      </c>
      <c r="B3" s="6"/>
      <c r="C3" s="6"/>
      <c r="D3" s="6"/>
      <c r="E3" s="6"/>
      <c r="F3" s="6"/>
      <c r="G3" s="6"/>
      <c r="H3" s="6"/>
      <c r="I3" s="6"/>
      <c r="J3" s="6"/>
      <c r="K3" s="6"/>
      <c r="L3" s="6"/>
      <c r="M3" s="6"/>
      <c r="N3" s="6"/>
      <c r="O3" s="6"/>
      <c r="P3" s="6"/>
      <c r="Q3" s="6"/>
      <c r="R3" s="6"/>
      <c r="S3" s="6"/>
      <c r="T3" s="6"/>
      <c r="U3" s="6"/>
      <c r="V3" s="6"/>
    </row>
    <row r="6" spans="1:22">
      <c r="A6" s="1" t="s">
        <v>46</v>
      </c>
      <c r="B6" s="1" t="s">
        <v>217</v>
      </c>
      <c r="F6" s="1" t="s">
        <v>87</v>
      </c>
      <c r="J6" s="1" t="s">
        <v>88</v>
      </c>
    </row>
    <row r="7" spans="1:22">
      <c r="B7" s="1" t="s">
        <v>218</v>
      </c>
      <c r="C7" s="1" t="s">
        <v>219</v>
      </c>
      <c r="D7" s="1" t="s">
        <v>220</v>
      </c>
      <c r="E7" s="1"/>
      <c r="F7" s="1" t="s">
        <v>218</v>
      </c>
      <c r="G7" s="1" t="s">
        <v>219</v>
      </c>
      <c r="H7" s="1" t="s">
        <v>220</v>
      </c>
      <c r="I7" s="1"/>
      <c r="J7" s="1" t="s">
        <v>218</v>
      </c>
      <c r="K7" s="1" t="s">
        <v>219</v>
      </c>
      <c r="L7" s="1" t="s">
        <v>220</v>
      </c>
      <c r="M7" s="358" t="s">
        <v>221</v>
      </c>
      <c r="N7" s="358"/>
      <c r="O7" s="358"/>
      <c r="P7" s="358"/>
      <c r="Q7" s="358"/>
      <c r="R7" s="358"/>
      <c r="S7" s="358"/>
      <c r="T7" s="358"/>
    </row>
    <row r="8" spans="1:22">
      <c r="A8" s="10" t="s">
        <v>222</v>
      </c>
      <c r="B8" s="8">
        <f>'2b. Inputs - Assets'!B12</f>
        <v>0</v>
      </c>
      <c r="C8" s="8">
        <f>B8*'2a.i Inputs - US Factors'!$B$39</f>
        <v>0</v>
      </c>
      <c r="D8" s="8">
        <f t="shared" ref="D8:D16" si="0">B8-C8</f>
        <v>0</v>
      </c>
      <c r="E8" s="8"/>
      <c r="F8" s="8">
        <f>'2b. Inputs - Assets'!B12</f>
        <v>0</v>
      </c>
      <c r="G8" s="8">
        <f>F8*'2a.i Inputs - US Factors'!$B$39</f>
        <v>0</v>
      </c>
      <c r="H8" s="8">
        <f t="shared" ref="H8:H16" si="1">F8-G8</f>
        <v>0</v>
      </c>
      <c r="I8" s="8"/>
      <c r="J8" s="8">
        <f>'2b. Inputs - Assets'!B12</f>
        <v>0</v>
      </c>
      <c r="K8" s="8">
        <f>J8*'2a.i Inputs - US Factors'!$B$39</f>
        <v>0</v>
      </c>
      <c r="L8" s="8">
        <f t="shared" ref="L8:L16" si="2">J8-K8</f>
        <v>0</v>
      </c>
      <c r="M8" s="26"/>
    </row>
    <row r="9" spans="1:22">
      <c r="A9" s="10" t="s">
        <v>223</v>
      </c>
      <c r="B9" s="8">
        <f>SUM('2b. Inputs - Assets'!B20:B21)*'2a.i Inputs - US Factors'!B17</f>
        <v>244999.99999999997</v>
      </c>
      <c r="C9" s="8">
        <f>B9*'2a.i Inputs - US Factors'!$B$39</f>
        <v>51449.999999999993</v>
      </c>
      <c r="D9" s="8">
        <f t="shared" si="0"/>
        <v>193549.99999999997</v>
      </c>
      <c r="E9" s="8"/>
      <c r="F9" s="8">
        <f>SUM('2b. Inputs - Assets'!H20:H21)*'2a.i Inputs - US Factors'!B17</f>
        <v>2548000</v>
      </c>
      <c r="G9" s="8">
        <f>F9*'2a.i Inputs - US Factors'!$B$39</f>
        <v>535080</v>
      </c>
      <c r="H9" s="8">
        <f t="shared" si="1"/>
        <v>2012920</v>
      </c>
      <c r="I9" s="8"/>
      <c r="J9" s="8">
        <f>SUM('2b. Inputs - Assets'!B20:B21)*'2a.i Inputs - US Factors'!B17</f>
        <v>244999.99999999997</v>
      </c>
      <c r="K9" s="8">
        <f>J9*'2a.i Inputs - US Factors'!$B$39</f>
        <v>51449.999999999993</v>
      </c>
      <c r="L9" s="8">
        <f t="shared" si="2"/>
        <v>193549.99999999997</v>
      </c>
      <c r="M9" s="73"/>
    </row>
    <row r="10" spans="1:22">
      <c r="A10" s="10" t="s">
        <v>224</v>
      </c>
      <c r="B10" s="8">
        <f>SUM('2b. Inputs - Assets'!B16:B17)*'2a.i Inputs - US Factors'!C10+'2b. Inputs - Assets'!B18*'2a.i Inputs - US Factors'!C13+'2b. Inputs - Assets'!B19*'2a.i Inputs - US Factors'!B16</f>
        <v>375750</v>
      </c>
      <c r="C10" s="8">
        <f>B10*'2a.i Inputs - US Factors'!$B$39</f>
        <v>78907.5</v>
      </c>
      <c r="D10" s="8">
        <f t="shared" si="0"/>
        <v>296842.5</v>
      </c>
      <c r="E10" s="8"/>
      <c r="F10" s="8">
        <f>SUM('2b. Inputs - Assets'!H16:H17)*'2a.i Inputs - US Factors'!C10+'2b. Inputs - Assets'!H18*'2a.i Inputs - US Factors'!C13+'2b. Inputs - Assets'!B19*'2a.i Inputs - US Factors'!B16</f>
        <v>261020</v>
      </c>
      <c r="G10" s="8">
        <f>F10*'2a.i Inputs - US Factors'!$B$39</f>
        <v>54814.2</v>
      </c>
      <c r="H10" s="8">
        <f t="shared" si="1"/>
        <v>206205.8</v>
      </c>
      <c r="I10" s="8"/>
      <c r="J10" s="8">
        <f>SUM('2b. Inputs - Assets'!B16:B17)*'2a.i Inputs - US Factors'!C10+'2b. Inputs - Assets'!B18*'2a.i Inputs - US Factors'!C13+'2b. Inputs - Assets'!B19*'2a.i Inputs - US Factors'!B16</f>
        <v>375750</v>
      </c>
      <c r="K10" s="8">
        <f>J10*'2a.i Inputs - US Factors'!$B$39</f>
        <v>78907.5</v>
      </c>
      <c r="L10" s="8">
        <f t="shared" si="2"/>
        <v>296842.5</v>
      </c>
      <c r="M10" s="73"/>
    </row>
    <row r="11" spans="1:22">
      <c r="A11" s="10" t="s">
        <v>225</v>
      </c>
      <c r="B11" s="8">
        <f>MAX(ROUND(IF('2c. Inputs - Liabilities'!$K$19&lt;'2a.i Inputs - US Factors'!$A$27,'2c. Inputs - Liabilities'!$K$19*'2a.i Inputs - US Factors'!$B$27,IF('2c. Inputs - Liabilities'!$K$19&lt;'2a.i Inputs - US Factors'!$A$28,SUM('2a.i Inputs - US Factors'!$C$27:'2a.i Inputs - US Factors'!$C27)+('2c. Inputs - Liabilities'!$K$19-'2a.i Inputs - US Factors'!$A$27)*'2a.i Inputs - US Factors'!$B$28,IF('2c. Inputs - Liabilities'!$K$19&lt;'2a.i Inputs - US Factors'!$A$29,SUM('2a.i Inputs - US Factors'!$C$27:'2a.i Inputs - US Factors'!$C28)+('2c. Inputs - Liabilities'!$K$19-'2a.i Inputs - US Factors'!$A$28)*'2a.i Inputs - US Factors'!$B$29,SUM('2a.i Inputs - US Factors'!$C$27:'2a.i Inputs - US Factors'!$C29)+('2c. Inputs - Liabilities'!$K$19-'2a.i Inputs - US Factors'!$A$29)*'2a.i Inputs - US Factors'!$B$30))),0),0)</f>
        <v>386129</v>
      </c>
      <c r="C11" s="8">
        <f>B11*'2a.i Inputs - US Factors'!$B$39</f>
        <v>81087.09</v>
      </c>
      <c r="D11" s="8">
        <f t="shared" si="0"/>
        <v>305041.91000000003</v>
      </c>
      <c r="E11" s="8"/>
      <c r="F11" s="8">
        <f>MAX(ROUND(IF('2c. Inputs - Liabilities'!$K$19&lt;'2a.i Inputs - US Factors'!$A$27,'2c. Inputs - Liabilities'!$K$19*'2a.i Inputs - US Factors'!$B$27,IF('2c. Inputs - Liabilities'!$K$19&lt;'2a.i Inputs - US Factors'!$A$28,SUM('2a.i Inputs - US Factors'!$C$27:'2a.i Inputs - US Factors'!$C27)+('2c. Inputs - Liabilities'!$K$19-'2a.i Inputs - US Factors'!$A$27)*'2a.i Inputs - US Factors'!$B$28,IF('2c. Inputs - Liabilities'!$K$19&lt;'2a.i Inputs - US Factors'!$A$29,SUM('2a.i Inputs - US Factors'!$C$27:'2a.i Inputs - US Factors'!$C28)+('2c. Inputs - Liabilities'!$K$19-'2a.i Inputs - US Factors'!$A$28)*'2a.i Inputs - US Factors'!$B$29,SUM('2a.i Inputs - US Factors'!$C$27:'2a.i Inputs - US Factors'!$C29)+('2c. Inputs - Liabilities'!$K$19-'2a.i Inputs - US Factors'!$A$29)*'2a.i Inputs - US Factors'!$B$30))),0),0)</f>
        <v>386129</v>
      </c>
      <c r="G11" s="8">
        <f>F11*'2a.i Inputs - US Factors'!$B$39</f>
        <v>81087.09</v>
      </c>
      <c r="H11" s="8">
        <f t="shared" si="1"/>
        <v>305041.91000000003</v>
      </c>
      <c r="I11" s="8"/>
      <c r="J11" s="66">
        <f>MAX(ROUND(IF('2c. Inputs - Liabilities'!$K$30&lt;'2a.i Inputs - US Factors'!$A$27,'2c. Inputs - Liabilities'!$K$30*'2a.i Inputs - US Factors'!$B$27,IF('2c. Inputs - Liabilities'!$K$30&lt;'2a.i Inputs - US Factors'!$A$28,SUM('2a.i Inputs - US Factors'!$C$27:'2a.i Inputs - US Factors'!$C27)+('2c. Inputs - Liabilities'!$K$30-'2a.i Inputs - US Factors'!$A$27)*'2a.i Inputs - US Factors'!$B$28,IF('2c. Inputs - Liabilities'!$K$30&lt;'2a.i Inputs - US Factors'!$A$29,SUM('2a.i Inputs - US Factors'!$C$27:'2a.i Inputs - US Factors'!$C28)+('2c. Inputs - Liabilities'!$K$30-'2a.i Inputs - US Factors'!$A$28)*'2a.i Inputs - US Factors'!$B$29,SUM('2a.i Inputs - US Factors'!$C$27:'2a.i Inputs - US Factors'!$C29)+('2c. Inputs - Liabilities'!$K$30-'2a.i Inputs - US Factors'!$A$29)*'2a.i Inputs - US Factors'!$B$30))),0),0)</f>
        <v>193159</v>
      </c>
      <c r="K11" s="8">
        <f>J11*'2a.i Inputs - US Factors'!$B$39</f>
        <v>40563.39</v>
      </c>
      <c r="L11" s="8">
        <f t="shared" si="2"/>
        <v>152595.60999999999</v>
      </c>
      <c r="M11" s="73"/>
    </row>
    <row r="12" spans="1:22">
      <c r="A12" s="10" t="s">
        <v>226</v>
      </c>
      <c r="B12" s="8">
        <f>SUMPRODUCT('2c. Inputs - Liabilities'!H19:H20,'2a.i Inputs - US Factors'!C21:C22)</f>
        <v>657812.25496006303</v>
      </c>
      <c r="C12" s="8">
        <f>B12*'2a.i Inputs - US Factors'!$B$39</f>
        <v>138140.57354161324</v>
      </c>
      <c r="D12" s="8">
        <f t="shared" si="0"/>
        <v>519671.68141844979</v>
      </c>
      <c r="E12" s="8"/>
      <c r="F12" s="8">
        <f>SUMPRODUCT('2c. Inputs - Liabilities'!H19:H20,'2a.i Inputs - US Factors'!C21:C22)</f>
        <v>657812.25496006303</v>
      </c>
      <c r="G12" s="8">
        <f>F12*'2a.i Inputs - US Factors'!$B$39</f>
        <v>138140.57354161324</v>
      </c>
      <c r="H12" s="8">
        <f t="shared" si="1"/>
        <v>519671.68141844979</v>
      </c>
      <c r="I12" s="8"/>
      <c r="J12" s="8">
        <f>SUMPRODUCT('2c. Inputs - Liabilities'!H30:H31,'2a.i Inputs - US Factors'!C21:C22)</f>
        <v>438684.90198402514</v>
      </c>
      <c r="K12" s="8">
        <f>J12*'2a.i Inputs - US Factors'!$B$39</f>
        <v>92123.829416645283</v>
      </c>
      <c r="L12" s="8">
        <f t="shared" si="2"/>
        <v>346561.07256737986</v>
      </c>
      <c r="M12" s="73"/>
    </row>
    <row r="13" spans="1:22">
      <c r="A13" s="10" t="s">
        <v>227</v>
      </c>
      <c r="B13" s="8">
        <v>0</v>
      </c>
      <c r="C13" s="8">
        <f>B13*'2a.i Inputs - US Factors'!$B$39</f>
        <v>0</v>
      </c>
      <c r="D13" s="8">
        <f t="shared" si="0"/>
        <v>0</v>
      </c>
      <c r="E13" s="8"/>
      <c r="F13" s="8">
        <v>0</v>
      </c>
      <c r="G13" s="8">
        <f>F13*'2a.i Inputs - US Factors'!$B$39</f>
        <v>0</v>
      </c>
      <c r="H13" s="8">
        <f t="shared" si="1"/>
        <v>0</v>
      </c>
      <c r="I13" s="8"/>
      <c r="J13" s="8">
        <v>0</v>
      </c>
      <c r="K13" s="8">
        <f>J13*'2a.i Inputs - US Factors'!$B$39</f>
        <v>0</v>
      </c>
      <c r="L13" s="8">
        <f t="shared" si="2"/>
        <v>0</v>
      </c>
      <c r="M13" s="26"/>
    </row>
    <row r="14" spans="1:22">
      <c r="A14" s="10" t="s">
        <v>228</v>
      </c>
      <c r="B14" s="8">
        <f>'2a.i Inputs - US Factors'!B19</f>
        <v>0</v>
      </c>
      <c r="C14" s="8">
        <f>B14*'2a.i Inputs - US Factors'!$B$39</f>
        <v>0</v>
      </c>
      <c r="D14" s="8">
        <f t="shared" si="0"/>
        <v>0</v>
      </c>
      <c r="E14" s="8"/>
      <c r="F14" s="8">
        <f>'2a.i Inputs - US Factors'!F19</f>
        <v>0</v>
      </c>
      <c r="G14" s="8">
        <f>F14*'2a.i Inputs - US Factors'!$B$39</f>
        <v>0</v>
      </c>
      <c r="H14" s="8">
        <f t="shared" si="1"/>
        <v>0</v>
      </c>
      <c r="I14" s="8"/>
      <c r="J14" s="8">
        <f>'2a.i Inputs - US Factors'!J19</f>
        <v>0</v>
      </c>
      <c r="K14" s="8">
        <f>J14*'2a.i Inputs - US Factors'!$B$39</f>
        <v>0</v>
      </c>
      <c r="L14" s="8">
        <f t="shared" si="2"/>
        <v>0</v>
      </c>
      <c r="M14" s="26"/>
    </row>
    <row r="15" spans="1:22">
      <c r="A15" s="13" t="s">
        <v>229</v>
      </c>
      <c r="B15" s="8">
        <f>(SUMIF('2c. Inputs - Liabilities'!$B$19:$B$21,"Life",'2c. Inputs - Liabilities'!$J$19:$J$21)+SUMIF('2c. Inputs - Liabilities'!$B$19:$B$21,"Annuity",'2c. Inputs - Liabilities'!$J$19:$J$21)) * '2a.i Inputs - US Factors'!$B$35 + SUMIF('2c. Inputs - Liabilities'!$B$19:$B$21,"Health",'2c. Inputs - Liabilities'!$J$19:$J$21) * '2a.i Inputs - US Factors'!B36</f>
        <v>49574.022459700551</v>
      </c>
      <c r="C15" s="8">
        <f>B15*'2a.i Inputs - US Factors'!$B$39</f>
        <v>10410.544716537115</v>
      </c>
      <c r="D15" s="8">
        <f t="shared" si="0"/>
        <v>39163.477743163436</v>
      </c>
      <c r="E15" s="8"/>
      <c r="F15" s="8">
        <f>(SUMIF('2c. Inputs - Liabilities'!$B$19:$B$21,"Life",'2c. Inputs - Liabilities'!$J$19:$J$21)+SUMIF('2c. Inputs - Liabilities'!$B$19:$B$21,"Annuity",'2c. Inputs - Liabilities'!$J$19:$J$21)) * '2a.i Inputs - US Factors'!$B$35 + SUMIF('2c. Inputs - Liabilities'!$B$19:$B$21,"Health",'2c. Inputs - Liabilities'!$J$19:$J$21) * '2a.i Inputs - US Factors'!F36</f>
        <v>49574.022459700551</v>
      </c>
      <c r="G15" s="8">
        <f>F15*'2a.i Inputs - US Factors'!$B$39</f>
        <v>10410.544716537115</v>
      </c>
      <c r="H15" s="8">
        <f t="shared" si="1"/>
        <v>39163.477743163436</v>
      </c>
      <c r="I15" s="8"/>
      <c r="J15" s="8">
        <f>(SUMIF('2c. Inputs - Liabilities'!$B$30:$B$32,"Life",'2c. Inputs - Liabilities'!$J$30:$J$32)+SUMIF('2c. Inputs - Liabilities'!$B$30:$B$32,"Annuity",'2c. Inputs - Liabilities'!$J$30:$J$32)) * '2a.i Inputs - US Factors'!$B$35 + SUMIF('2c. Inputs - Liabilities'!$B$30:$B$32,"Health",'2c. Inputs - Liabilities'!$J$30:$J$32) * '2a.i Inputs - US Factors'!B36</f>
        <v>55568.974274235559</v>
      </c>
      <c r="K15" s="8">
        <f>J15*'2a.i Inputs - US Factors'!$B$39</f>
        <v>11669.484597589468</v>
      </c>
      <c r="L15" s="8">
        <f t="shared" si="2"/>
        <v>43899.489676646088</v>
      </c>
      <c r="M15" s="73"/>
    </row>
    <row r="16" spans="1:22">
      <c r="A16" s="13" t="s">
        <v>230</v>
      </c>
      <c r="B16" s="8">
        <f>'2c. Inputs - Liabilities'!$I$21*'2a.i Inputs - US Factors'!$B$37</f>
        <v>0</v>
      </c>
      <c r="C16" s="8">
        <f>B16*'2a.i Inputs - US Factors'!$B$39</f>
        <v>0</v>
      </c>
      <c r="D16" s="8">
        <f t="shared" si="0"/>
        <v>0</v>
      </c>
      <c r="E16" s="8"/>
      <c r="F16" s="8">
        <f>'2c. Inputs - Liabilities'!$I$21*'2a.i Inputs - US Factors'!$B$37</f>
        <v>0</v>
      </c>
      <c r="G16" s="8">
        <f>F16*'2a.i Inputs - US Factors'!$B$39</f>
        <v>0</v>
      </c>
      <c r="H16" s="8">
        <f t="shared" si="1"/>
        <v>0</v>
      </c>
      <c r="I16" s="8"/>
      <c r="J16" s="8">
        <f>'2c. Inputs - Liabilities'!$I$21*'2a.i Inputs - US Factors'!$B$37</f>
        <v>0</v>
      </c>
      <c r="K16" s="8">
        <f>J16*'2a.i Inputs - US Factors'!$B$39</f>
        <v>0</v>
      </c>
      <c r="L16" s="8">
        <f t="shared" si="2"/>
        <v>0</v>
      </c>
      <c r="M16" s="26"/>
    </row>
    <row r="17" spans="1:20">
      <c r="A17" s="10" t="s">
        <v>231</v>
      </c>
      <c r="B17" s="8">
        <f>SUM(B15:B16)</f>
        <v>49574.022459700551</v>
      </c>
      <c r="C17" s="8">
        <f>SUM(C15:C16)</f>
        <v>10410.544716537115</v>
      </c>
      <c r="D17" s="8">
        <f>SUM(D15:D16)</f>
        <v>39163.477743163436</v>
      </c>
      <c r="E17" s="8"/>
      <c r="F17" s="8">
        <f>SUM(F15:F16)</f>
        <v>49574.022459700551</v>
      </c>
      <c r="G17" s="8">
        <f>SUM(G15:G16)</f>
        <v>10410.544716537115</v>
      </c>
      <c r="H17" s="8">
        <f>SUM(H15:H16)</f>
        <v>39163.477743163436</v>
      </c>
      <c r="I17" s="8"/>
      <c r="J17" s="8">
        <f>SUM(J15:J16)</f>
        <v>55568.974274235559</v>
      </c>
      <c r="K17" s="8">
        <f>SUM(K15:K16)</f>
        <v>11669.484597589468</v>
      </c>
      <c r="L17" s="8">
        <f>SUM(L15:L16)</f>
        <v>43899.489676646088</v>
      </c>
      <c r="M17" s="73"/>
    </row>
    <row r="18" spans="1:20">
      <c r="A18" s="10" t="s">
        <v>232</v>
      </c>
      <c r="B18" s="8">
        <v>0</v>
      </c>
      <c r="C18" s="8">
        <f>B18*'2a.i Inputs - US Factors'!$B$39</f>
        <v>0</v>
      </c>
      <c r="D18" s="8">
        <f>B18-C18</f>
        <v>0</v>
      </c>
      <c r="E18" s="8"/>
      <c r="F18" s="8">
        <v>0</v>
      </c>
      <c r="G18" s="8">
        <f>F18*'2a.i Inputs - US Factors'!$B$39</f>
        <v>0</v>
      </c>
      <c r="H18" s="8">
        <f>F18-G18</f>
        <v>0</v>
      </c>
      <c r="I18" s="8"/>
      <c r="J18" s="8">
        <v>0</v>
      </c>
      <c r="K18" s="8">
        <f>J18*'2a.i Inputs - US Factors'!$B$39</f>
        <v>0</v>
      </c>
      <c r="L18" s="8">
        <f>J18-K18</f>
        <v>0</v>
      </c>
      <c r="M18" s="26"/>
    </row>
    <row r="19" spans="1:20">
      <c r="A19" s="10"/>
      <c r="M19" s="26"/>
    </row>
    <row r="20" spans="1:20">
      <c r="A20" s="28" t="s">
        <v>233</v>
      </c>
      <c r="B20" s="7">
        <f>ROUND(B8+B17+(((B10+B12)^2+(B9+B14)^2+B11^2+B13^2+B18^2)^0.5),0)</f>
        <v>1179783</v>
      </c>
      <c r="C20" s="8"/>
      <c r="D20" s="7">
        <f>ROUND(D8+D17+(((D10+D12)^2+(D9+D14)^2+D11^2+D13^2+D18^2)^0.5),0)</f>
        <v>932028</v>
      </c>
      <c r="E20" s="7"/>
      <c r="F20" s="7">
        <f>ROUND(F8+F17+(((F10+F12)^2+(F9+F14)^2+F11^2+F13^2+F18^2)^0.5),0)</f>
        <v>2785566</v>
      </c>
      <c r="G20" s="8"/>
      <c r="H20" s="7">
        <f>ROUND(H8+H17+(((H10+H12)^2+(H9+H14)^2+H11^2+H13^2+H18^2)^0.5),0)</f>
        <v>2200597</v>
      </c>
      <c r="I20" s="7"/>
      <c r="J20" s="7">
        <f>ROUND(J8+J17+(((J10+J12)^2+(J9+J14)^2+J11^2+J13^2+J18^2)^0.5),0)</f>
        <v>927716</v>
      </c>
      <c r="K20" s="8"/>
      <c r="L20" s="7">
        <f>ROUND(L8+L17+(((L10+L12)^2+(L9+L14)^2+L11^2+L13^2+L18^2)^0.5),0)</f>
        <v>732895</v>
      </c>
      <c r="M20" s="73"/>
    </row>
    <row r="21" spans="1:20">
      <c r="A21" s="10"/>
      <c r="M21" s="26"/>
    </row>
    <row r="22" spans="1:20">
      <c r="A22" s="29" t="s">
        <v>46</v>
      </c>
      <c r="B22" s="7">
        <f>ROUND(B20*'2a.i Inputs - US Factors'!$B$40,0)</f>
        <v>589892</v>
      </c>
      <c r="C22" s="8"/>
      <c r="D22" s="7">
        <f>ROUND(D20*'2a.i Inputs - US Factors'!$B$40,0)</f>
        <v>466014</v>
      </c>
      <c r="E22" s="7"/>
      <c r="F22" s="7">
        <f>ROUND(F20*'2a.i Inputs - US Factors'!$B$40,0)</f>
        <v>1392783</v>
      </c>
      <c r="G22" s="8"/>
      <c r="H22" s="7">
        <f>ROUND(H20*'2a.i Inputs - US Factors'!$B$40,0)</f>
        <v>1100299</v>
      </c>
      <c r="I22" s="7"/>
      <c r="J22" s="7">
        <f>ROUND(J20*'2a.i Inputs - US Factors'!$B$40,0)</f>
        <v>463858</v>
      </c>
      <c r="K22" s="8"/>
      <c r="L22" s="7">
        <f>ROUND(L20*'2a.i Inputs - US Factors'!$B$40,0)</f>
        <v>366448</v>
      </c>
      <c r="M22" s="357" t="s">
        <v>234</v>
      </c>
      <c r="N22" s="357"/>
      <c r="O22" s="357"/>
      <c r="P22" s="357"/>
      <c r="Q22" s="357"/>
      <c r="R22" s="357"/>
      <c r="S22" s="357"/>
      <c r="T22" s="357"/>
    </row>
    <row r="24" spans="1:20">
      <c r="A24" s="1" t="s">
        <v>235</v>
      </c>
    </row>
    <row r="25" spans="1:20">
      <c r="A25" s="11" t="s">
        <v>236</v>
      </c>
      <c r="B25" s="7">
        <f>B56</f>
        <v>3876983.7018173635</v>
      </c>
      <c r="C25" s="7"/>
      <c r="D25" s="7"/>
      <c r="E25" s="7">
        <f t="shared" ref="E25:F25" si="3">E56</f>
        <v>0</v>
      </c>
      <c r="F25" s="7">
        <f t="shared" si="3"/>
        <v>3876983.7018173635</v>
      </c>
      <c r="J25" s="7">
        <f>J56</f>
        <v>3876983.7018173635</v>
      </c>
    </row>
    <row r="26" spans="1:20">
      <c r="A26" s="11" t="s">
        <v>186</v>
      </c>
      <c r="B26" s="7">
        <f>'2c. Inputs - Liabilities'!B23</f>
        <v>50000</v>
      </c>
      <c r="F26" s="7">
        <f>'2c. Inputs - Liabilities'!B23</f>
        <v>50000</v>
      </c>
      <c r="J26" s="7">
        <f>'2c. Inputs - Liabilities'!B23</f>
        <v>50000</v>
      </c>
    </row>
    <row r="27" spans="1:20">
      <c r="A27" s="11" t="s">
        <v>237</v>
      </c>
      <c r="B27" s="7">
        <f>'2c. Inputs - Liabilities'!B24/2</f>
        <v>15000</v>
      </c>
      <c r="F27" s="7">
        <f>'2c. Inputs - Liabilities'!B24/2</f>
        <v>15000</v>
      </c>
      <c r="J27" s="7">
        <f>'2c. Inputs - Liabilities'!B24/2</f>
        <v>15000</v>
      </c>
    </row>
    <row r="28" spans="1:20">
      <c r="A28" s="11" t="s">
        <v>188</v>
      </c>
      <c r="B28" s="7">
        <f>'2c. Inputs - Liabilities'!B25</f>
        <v>0</v>
      </c>
      <c r="F28" s="7">
        <f>'2c. Inputs - Liabilities'!B25</f>
        <v>0</v>
      </c>
      <c r="J28" s="7">
        <f>'2c. Inputs - Liabilities'!M25</f>
        <v>0</v>
      </c>
    </row>
    <row r="29" spans="1:20">
      <c r="A29" s="11" t="s">
        <v>189</v>
      </c>
      <c r="B29" s="7">
        <f>'2c. Inputs - Liabilities'!B26</f>
        <v>0</v>
      </c>
      <c r="F29" s="7">
        <f>'2c. Inputs - Liabilities'!B26</f>
        <v>0</v>
      </c>
      <c r="J29" s="7">
        <f>'2c. Inputs - Liabilities'!M26</f>
        <v>0</v>
      </c>
    </row>
    <row r="31" spans="1:20">
      <c r="A31" s="11" t="s">
        <v>238</v>
      </c>
      <c r="B31" s="16">
        <f>SUM(B25:B29)</f>
        <v>3941983.7018173635</v>
      </c>
      <c r="F31" s="7">
        <f>SUM(F25:F29)</f>
        <v>3941983.7018173635</v>
      </c>
      <c r="J31" s="7">
        <f>SUM(J25:J29)</f>
        <v>3941983.7018173635</v>
      </c>
      <c r="M31" s="357" t="s">
        <v>239</v>
      </c>
      <c r="N31" s="357"/>
      <c r="O31" s="357"/>
      <c r="P31" s="357"/>
      <c r="Q31" s="357"/>
      <c r="R31" s="357"/>
      <c r="S31" s="357"/>
      <c r="T31" s="357"/>
    </row>
    <row r="33" spans="1:10">
      <c r="A33" s="11" t="s">
        <v>240</v>
      </c>
      <c r="B33" s="9">
        <f>IFERROR(B31/D20,0)</f>
        <v>4.2294691809874418</v>
      </c>
      <c r="F33" s="9">
        <f>IFERROR(F31/H20,0)</f>
        <v>1.7913246731761261</v>
      </c>
      <c r="J33" s="9">
        <f>IFERROR(J31/L20,0)</f>
        <v>5.3786472848325664</v>
      </c>
    </row>
    <row r="35" spans="1:10">
      <c r="A35" s="18" t="s">
        <v>211</v>
      </c>
    </row>
    <row r="37" spans="1:10">
      <c r="A37" s="18" t="s">
        <v>18</v>
      </c>
    </row>
    <row r="38" spans="1:10">
      <c r="A38" t="str">
        <f>'2b. Inputs - Assets'!A16</f>
        <v>Fixed Income 1</v>
      </c>
      <c r="B38" s="16">
        <f>'2b. Inputs - Assets'!B16</f>
        <v>7000000</v>
      </c>
      <c r="F38" s="7">
        <f>'2b. Inputs - Assets'!H16</f>
        <v>1820000</v>
      </c>
      <c r="J38" s="7">
        <f>B38</f>
        <v>7000000</v>
      </c>
    </row>
    <row r="39" spans="1:10">
      <c r="A39" t="str">
        <f>'2b. Inputs - Assets'!A17</f>
        <v>Fixed Income 2</v>
      </c>
      <c r="B39" s="16">
        <f>'2b. Inputs - Assets'!B17</f>
        <v>7000000</v>
      </c>
      <c r="F39" s="7">
        <f>'2b. Inputs - Assets'!H17</f>
        <v>1820000</v>
      </c>
      <c r="J39" s="7">
        <f t="shared" ref="J39:J43" si="4">B39</f>
        <v>7000000</v>
      </c>
    </row>
    <row r="40" spans="1:10">
      <c r="A40" t="str">
        <f>'2b. Inputs - Assets'!A18</f>
        <v>Mortgages</v>
      </c>
      <c r="B40" s="16">
        <f>'2b. Inputs - Assets'!B18</f>
        <v>2500000</v>
      </c>
      <c r="F40" s="7">
        <f>'2b. Inputs - Assets'!H18</f>
        <v>3640000</v>
      </c>
      <c r="J40" s="7">
        <f t="shared" si="4"/>
        <v>2500000</v>
      </c>
    </row>
    <row r="41" spans="1:10">
      <c r="A41" t="str">
        <f>'2b. Inputs - Assets'!A19</f>
        <v>Real Estate</v>
      </c>
      <c r="B41" s="16">
        <f>'2b. Inputs - Assets'!B19</f>
        <v>1000000</v>
      </c>
      <c r="F41" s="7">
        <f>'2b. Inputs - Assets'!H19</f>
        <v>3640000</v>
      </c>
      <c r="J41" s="7">
        <f t="shared" si="4"/>
        <v>1000000</v>
      </c>
    </row>
    <row r="42" spans="1:10">
      <c r="A42" t="str">
        <f>'2b. Inputs - Assets'!A20</f>
        <v>Equity (Stocks in OECD or EEA countries)</v>
      </c>
      <c r="B42" s="16">
        <f>'2b. Inputs - Assets'!B20</f>
        <v>500000</v>
      </c>
      <c r="F42" s="7">
        <f>'2b. Inputs - Assets'!H20</f>
        <v>3640000</v>
      </c>
      <c r="J42" s="7">
        <f t="shared" si="4"/>
        <v>500000</v>
      </c>
    </row>
    <row r="43" spans="1:10">
      <c r="A43" t="str">
        <f>'2b. Inputs - Assets'!A21</f>
        <v>Equity (Stocks in emerging markets)</v>
      </c>
      <c r="B43" s="16">
        <f>'2b. Inputs - Assets'!B21</f>
        <v>200000</v>
      </c>
      <c r="F43" s="7">
        <f>'2b. Inputs - Assets'!H21</f>
        <v>3640000</v>
      </c>
      <c r="J43" s="7">
        <f t="shared" si="4"/>
        <v>200000</v>
      </c>
    </row>
    <row r="44" spans="1:10">
      <c r="A44" s="1" t="s">
        <v>213</v>
      </c>
      <c r="B44" s="17">
        <f>SUM(B38:B43)</f>
        <v>18200000</v>
      </c>
      <c r="F44" s="17">
        <f>SUM(F38:F43)</f>
        <v>18200000</v>
      </c>
      <c r="J44" s="17">
        <f>SUM(J38:J43)</f>
        <v>18200000</v>
      </c>
    </row>
    <row r="46" spans="1:10">
      <c r="A46" s="18" t="s">
        <v>26</v>
      </c>
    </row>
    <row r="47" spans="1:10">
      <c r="A47" t="s">
        <v>241</v>
      </c>
      <c r="B47" s="16">
        <f>'2c. Inputs - Liabilities'!H21</f>
        <v>14243016.298182636</v>
      </c>
      <c r="F47" s="7">
        <f>'2c. Inputs - Liabilities'!H21</f>
        <v>14243016.298182636</v>
      </c>
      <c r="J47" s="7">
        <f>'2c. Inputs - Liabilities'!H32</f>
        <v>14243016.298182636</v>
      </c>
    </row>
    <row r="48" spans="1:10">
      <c r="A48" t="s">
        <v>44</v>
      </c>
      <c r="B48" s="16">
        <f>'2c. Inputs - Liabilities'!I20</f>
        <v>0</v>
      </c>
      <c r="C48" s="16"/>
      <c r="D48" s="16"/>
      <c r="E48" s="16">
        <f>'2c. Inputs - Liabilities'!L20</f>
        <v>7500000</v>
      </c>
      <c r="F48" s="16">
        <f>'2c. Inputs - Liabilities'!I20</f>
        <v>0</v>
      </c>
      <c r="J48" s="7">
        <f>'2c. Inputs - Liabilities'!Q20</f>
        <v>0</v>
      </c>
    </row>
    <row r="49" spans="1:10">
      <c r="A49" t="s">
        <v>186</v>
      </c>
      <c r="B49" s="16">
        <f>'2c. Inputs - Liabilities'!B23</f>
        <v>50000</v>
      </c>
      <c r="F49" s="7">
        <f>'2c. Inputs - Liabilities'!B23</f>
        <v>50000</v>
      </c>
      <c r="J49" s="7">
        <f>'2c. Inputs - Liabilities'!B23</f>
        <v>50000</v>
      </c>
    </row>
    <row r="50" spans="1:10">
      <c r="A50" t="s">
        <v>242</v>
      </c>
      <c r="B50" s="16">
        <f>'2c. Inputs - Liabilities'!B24</f>
        <v>30000</v>
      </c>
      <c r="F50" s="7">
        <f>'2c. Inputs - Liabilities'!B24</f>
        <v>30000</v>
      </c>
      <c r="J50" s="7">
        <f>'2c. Inputs - Liabilities'!B24</f>
        <v>30000</v>
      </c>
    </row>
    <row r="51" spans="1:10">
      <c r="A51" s="1" t="s">
        <v>243</v>
      </c>
      <c r="B51" s="15">
        <f>SUM(B47:B50)</f>
        <v>14323016.298182636</v>
      </c>
      <c r="F51" s="15">
        <f>SUM(F47:F50)</f>
        <v>14323016.298182636</v>
      </c>
      <c r="J51" s="15">
        <f>SUM(J47:J50)</f>
        <v>14323016.298182636</v>
      </c>
    </row>
    <row r="53" spans="1:10">
      <c r="A53" s="18" t="s">
        <v>244</v>
      </c>
    </row>
    <row r="54" spans="1:10">
      <c r="A54" t="s">
        <v>245</v>
      </c>
      <c r="B54" s="8">
        <f>D22</f>
        <v>466014</v>
      </c>
      <c r="F54" s="8">
        <f>H22</f>
        <v>1100299</v>
      </c>
      <c r="J54" s="8">
        <f>L22</f>
        <v>366448</v>
      </c>
    </row>
    <row r="55" spans="1:10">
      <c r="A55" t="s">
        <v>246</v>
      </c>
      <c r="B55" s="8">
        <f>B56-B54</f>
        <v>3410969.7018173635</v>
      </c>
      <c r="F55" s="8">
        <f>F56-F54</f>
        <v>2776684.7018173635</v>
      </c>
      <c r="J55" s="8">
        <f>J56-J54</f>
        <v>3510535.7018173635</v>
      </c>
    </row>
    <row r="56" spans="1:10">
      <c r="A56" s="1" t="s">
        <v>247</v>
      </c>
      <c r="B56" s="17">
        <f>B44-B51</f>
        <v>3876983.7018173635</v>
      </c>
      <c r="F56" s="17">
        <f>F44-F51</f>
        <v>3876983.7018173635</v>
      </c>
      <c r="J56" s="17">
        <f>J44-J51</f>
        <v>3876983.7018173635</v>
      </c>
    </row>
  </sheetData>
  <mergeCells count="3">
    <mergeCell ref="M31:T31"/>
    <mergeCell ref="M22:T22"/>
    <mergeCell ref="M7:T7"/>
  </mergeCells>
  <pageMargins left="0.7" right="0.7" top="0.75" bottom="0.75" header="0.3" footer="0.3"/>
  <pageSetup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4F6EC1-2536-49AA-B3BD-C511D9A9229E}">
  <sheetPr codeName="Sheet8">
    <tabColor rgb="FF002060"/>
  </sheetPr>
  <dimension ref="A1:AG110"/>
  <sheetViews>
    <sheetView showGridLines="0" workbookViewId="0">
      <pane xSplit="1" ySplit="7" topLeftCell="B8" activePane="bottomRight" state="frozen"/>
      <selection activeCell="B8" sqref="B8"/>
      <selection pane="topRight" activeCell="B8" sqref="B8"/>
      <selection pane="bottomLeft" activeCell="B8" sqref="B8"/>
      <selection pane="bottomRight" activeCell="B8" sqref="B8"/>
    </sheetView>
  </sheetViews>
  <sheetFormatPr defaultRowHeight="15"/>
  <cols>
    <col min="1" max="1" width="33.5703125" customWidth="1"/>
    <col min="2" max="2" width="15.85546875" bestFit="1" customWidth="1"/>
    <col min="3" max="3" width="10.42578125" bestFit="1" customWidth="1"/>
    <col min="4" max="4" width="15.140625" bestFit="1" customWidth="1"/>
    <col min="5" max="5" width="35.140625" bestFit="1" customWidth="1"/>
    <col min="6" max="7" width="9" bestFit="1" customWidth="1"/>
    <col min="8" max="8" width="16.140625" bestFit="1" customWidth="1"/>
    <col min="9" max="9" width="16.140625" customWidth="1"/>
    <col min="10" max="10" width="18" customWidth="1"/>
    <col min="11" max="11" width="3.140625" customWidth="1"/>
    <col min="14" max="14" width="21" customWidth="1"/>
    <col min="15" max="19" width="8.85546875" customWidth="1"/>
    <col min="20" max="20" width="10.42578125" customWidth="1"/>
    <col min="21" max="21" width="16.140625" customWidth="1"/>
    <col min="22" max="22" width="18" customWidth="1"/>
    <col min="24" max="24" width="25.85546875" bestFit="1" customWidth="1"/>
    <col min="25" max="25" width="5" bestFit="1" customWidth="1"/>
    <col min="26" max="26" width="14.85546875" bestFit="1" customWidth="1"/>
    <col min="27" max="27" width="34.140625" bestFit="1" customWidth="1"/>
    <col min="28" max="29" width="5.85546875" bestFit="1" customWidth="1"/>
    <col min="30" max="30" width="10.42578125" bestFit="1" customWidth="1"/>
    <col min="31" max="31" width="16.140625" customWidth="1"/>
    <col min="32" max="32" width="18" customWidth="1"/>
  </cols>
  <sheetData>
    <row r="1" spans="1:33">
      <c r="A1" s="3" t="s">
        <v>448</v>
      </c>
      <c r="B1" s="4"/>
      <c r="C1" s="4"/>
      <c r="D1" s="4"/>
      <c r="E1" s="4"/>
      <c r="F1" s="4"/>
      <c r="G1" s="4"/>
      <c r="H1" s="4"/>
      <c r="I1" s="4"/>
      <c r="J1" s="4"/>
      <c r="K1" s="4"/>
      <c r="L1" s="4"/>
      <c r="M1" s="4"/>
      <c r="N1" s="4"/>
      <c r="O1" s="4"/>
      <c r="P1" s="4"/>
      <c r="Q1" s="4"/>
      <c r="R1" s="4"/>
      <c r="S1" s="4"/>
      <c r="T1" s="4"/>
      <c r="U1" s="4"/>
      <c r="V1" s="4"/>
      <c r="W1" s="4"/>
      <c r="X1" s="4"/>
      <c r="Y1" s="4"/>
      <c r="Z1" s="4"/>
      <c r="AA1" s="4"/>
      <c r="AB1" s="4"/>
      <c r="AC1" s="4"/>
      <c r="AD1" s="4"/>
      <c r="AE1" s="4"/>
      <c r="AF1" s="4"/>
      <c r="AG1" s="4"/>
    </row>
    <row r="2" spans="1:33">
      <c r="A2" s="1" t="s">
        <v>512</v>
      </c>
    </row>
    <row r="3" spans="1:33" ht="15.75" thickBot="1">
      <c r="A3" s="5" t="s">
        <v>248</v>
      </c>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row>
    <row r="5" spans="1:33">
      <c r="A5" s="1" t="s">
        <v>86</v>
      </c>
      <c r="N5" s="1" t="s">
        <v>16</v>
      </c>
      <c r="X5" s="1" t="s">
        <v>17</v>
      </c>
    </row>
    <row r="6" spans="1:33">
      <c r="A6" s="1" t="s">
        <v>249</v>
      </c>
      <c r="I6" s="344" t="s">
        <v>602</v>
      </c>
      <c r="J6" s="344" t="s">
        <v>603</v>
      </c>
      <c r="U6" s="344" t="s">
        <v>602</v>
      </c>
      <c r="V6" s="344" t="s">
        <v>603</v>
      </c>
      <c r="AE6" s="344" t="s">
        <v>602</v>
      </c>
      <c r="AF6" s="344" t="s">
        <v>603</v>
      </c>
    </row>
    <row r="7" spans="1:33">
      <c r="A7" s="1" t="s">
        <v>250</v>
      </c>
      <c r="B7" s="1" t="s">
        <v>3</v>
      </c>
      <c r="C7" s="1" t="s">
        <v>2</v>
      </c>
      <c r="D7" s="1" t="s">
        <v>251</v>
      </c>
      <c r="E7" s="1" t="s">
        <v>252</v>
      </c>
      <c r="F7" s="1" t="s">
        <v>253</v>
      </c>
      <c r="G7" s="1" t="s">
        <v>254</v>
      </c>
      <c r="H7" s="1" t="s">
        <v>34</v>
      </c>
      <c r="I7" s="344"/>
      <c r="J7" s="344"/>
      <c r="K7" s="1"/>
      <c r="L7" t="s">
        <v>255</v>
      </c>
      <c r="N7" s="1" t="s">
        <v>3</v>
      </c>
      <c r="O7" s="1" t="s">
        <v>2</v>
      </c>
      <c r="P7" s="1" t="s">
        <v>251</v>
      </c>
      <c r="Q7" s="1" t="s">
        <v>252</v>
      </c>
      <c r="R7" s="1" t="s">
        <v>253</v>
      </c>
      <c r="S7" s="1" t="s">
        <v>254</v>
      </c>
      <c r="T7" s="1" t="s">
        <v>34</v>
      </c>
      <c r="U7" s="344"/>
      <c r="V7" s="344"/>
      <c r="X7" s="1" t="s">
        <v>3</v>
      </c>
      <c r="Y7" s="1" t="s">
        <v>2</v>
      </c>
      <c r="Z7" s="1" t="s">
        <v>251</v>
      </c>
      <c r="AA7" s="1" t="s">
        <v>252</v>
      </c>
      <c r="AB7" s="1" t="s">
        <v>253</v>
      </c>
      <c r="AC7" s="1" t="s">
        <v>254</v>
      </c>
      <c r="AD7" s="1" t="s">
        <v>34</v>
      </c>
      <c r="AE7" s="344"/>
      <c r="AF7" s="344"/>
    </row>
    <row r="8" spans="1:33">
      <c r="A8" t="s">
        <v>96</v>
      </c>
      <c r="B8" s="7">
        <f>'2b. Inputs - Assets'!$B$16*'2a.ii Inputs - Canada Factors'!$F$26+('2b. Inputs - Assets'!$B$17+'2b. Inputs - Assets'!$B$18)*'2a.ii Inputs - Canada Factors'!$G$26</f>
        <v>253750.00000000003</v>
      </c>
      <c r="C8" s="7">
        <v>0</v>
      </c>
      <c r="D8" s="7">
        <v>0</v>
      </c>
      <c r="E8" s="7">
        <v>0</v>
      </c>
      <c r="F8" s="7">
        <v>0</v>
      </c>
      <c r="G8" s="7">
        <v>0</v>
      </c>
      <c r="H8" s="15">
        <f>SUM(B8:G8)</f>
        <v>253750.00000000003</v>
      </c>
      <c r="I8" s="15"/>
      <c r="J8" s="15"/>
      <c r="K8" s="15"/>
      <c r="L8" t="s">
        <v>256</v>
      </c>
      <c r="N8" s="7">
        <f>'2b. Inputs - Assets'!$H$16*'2a.ii Inputs - Canada Factors'!$F$26+('2b. Inputs - Assets'!$H$17+'2b. Inputs - Assets'!$H$18)*'2a.ii Inputs - Canada Factors'!$G$26</f>
        <v>118300.00000000001</v>
      </c>
      <c r="O8" s="7">
        <v>0</v>
      </c>
      <c r="P8" s="7">
        <v>0</v>
      </c>
      <c r="Q8" s="7">
        <v>0</v>
      </c>
      <c r="R8" s="7">
        <v>0</v>
      </c>
      <c r="S8" s="7">
        <v>0</v>
      </c>
      <c r="T8" s="15">
        <f>SUM(N8:S8)</f>
        <v>118300.00000000001</v>
      </c>
      <c r="U8" s="15"/>
      <c r="V8" s="15"/>
      <c r="X8" s="7">
        <f>'2b. Inputs - Assets'!$B$16*'2a.ii Inputs - Canada Factors'!$F$26+('2b. Inputs - Assets'!$B$17+'2b. Inputs - Assets'!$B$18)*'2a.ii Inputs - Canada Factors'!$G$26</f>
        <v>253750.00000000003</v>
      </c>
      <c r="Y8" s="7">
        <v>0</v>
      </c>
      <c r="Z8" s="7">
        <v>0</v>
      </c>
      <c r="AA8" s="7">
        <v>0</v>
      </c>
      <c r="AB8" s="7">
        <v>0</v>
      </c>
      <c r="AC8" s="7">
        <v>0</v>
      </c>
      <c r="AD8" s="15">
        <f>SUM(X8:AC8)</f>
        <v>253750.00000000003</v>
      </c>
      <c r="AE8" s="15"/>
      <c r="AF8" s="15"/>
    </row>
    <row r="9" spans="1:33">
      <c r="A9" t="s">
        <v>257</v>
      </c>
      <c r="B9" s="7">
        <f>SUM(B10:B17)</f>
        <v>1675360.4126186322</v>
      </c>
      <c r="C9" s="7">
        <f t="shared" ref="C9:G9" si="0">SUM(C10:C17)</f>
        <v>0</v>
      </c>
      <c r="D9" s="7">
        <f t="shared" si="0"/>
        <v>0</v>
      </c>
      <c r="E9" s="7">
        <f t="shared" si="0"/>
        <v>0</v>
      </c>
      <c r="F9" s="7">
        <f t="shared" si="0"/>
        <v>0</v>
      </c>
      <c r="G9" s="7">
        <f t="shared" si="0"/>
        <v>0</v>
      </c>
      <c r="H9" s="15">
        <f t="shared" ref="H9:H41" si="1">SUM(B9:G9)</f>
        <v>1675360.4126186322</v>
      </c>
      <c r="I9" s="15"/>
      <c r="J9" s="15"/>
      <c r="K9" s="15"/>
      <c r="L9" t="s">
        <v>258</v>
      </c>
      <c r="N9" s="7">
        <f>SUM(N10:N17)</f>
        <v>5022953.7297379067</v>
      </c>
      <c r="O9" s="7">
        <f t="shared" ref="O9:S9" si="2">SUM(O10:O17)</f>
        <v>0</v>
      </c>
      <c r="P9" s="7">
        <f t="shared" si="2"/>
        <v>0</v>
      </c>
      <c r="Q9" s="7">
        <f t="shared" si="2"/>
        <v>0</v>
      </c>
      <c r="R9" s="7">
        <f t="shared" si="2"/>
        <v>0</v>
      </c>
      <c r="S9" s="7">
        <f t="shared" si="2"/>
        <v>0</v>
      </c>
      <c r="T9" s="15">
        <f t="shared" ref="T9:T30" si="3">SUM(N9:S9)</f>
        <v>5022953.7297379067</v>
      </c>
      <c r="U9" s="15"/>
      <c r="V9" s="15"/>
      <c r="X9" s="7">
        <f>SUM(X10:X17)</f>
        <v>819399.01119795092</v>
      </c>
      <c r="Y9" s="7">
        <f t="shared" ref="Y9:AC9" si="4">SUM(Y10:Y17)</f>
        <v>0</v>
      </c>
      <c r="Z9" s="7">
        <f t="shared" si="4"/>
        <v>0</v>
      </c>
      <c r="AA9" s="7">
        <f t="shared" si="4"/>
        <v>0</v>
      </c>
      <c r="AB9" s="7">
        <f t="shared" si="4"/>
        <v>0</v>
      </c>
      <c r="AC9" s="7">
        <f t="shared" si="4"/>
        <v>0</v>
      </c>
      <c r="AD9" s="15">
        <f t="shared" ref="AD9:AD30" si="5">SUM(X9:AC9)</f>
        <v>819399.01119795092</v>
      </c>
      <c r="AE9" s="15"/>
      <c r="AF9" s="15"/>
    </row>
    <row r="10" spans="1:33">
      <c r="A10" s="25" t="s">
        <v>48</v>
      </c>
      <c r="B10" s="7">
        <f>'3c. Europe'!B9</f>
        <v>1410360.4126186322</v>
      </c>
      <c r="C10" s="7">
        <v>0</v>
      </c>
      <c r="D10" s="7">
        <v>0</v>
      </c>
      <c r="E10" s="7">
        <v>0</v>
      </c>
      <c r="F10" s="7">
        <v>0</v>
      </c>
      <c r="G10" s="7">
        <v>0</v>
      </c>
      <c r="H10" s="15">
        <f t="shared" si="1"/>
        <v>1410360.4126186322</v>
      </c>
      <c r="I10" s="15"/>
      <c r="J10" s="15"/>
      <c r="K10" s="15"/>
      <c r="L10" t="s">
        <v>259</v>
      </c>
      <c r="N10" s="7">
        <f>'3c. Europe'!D9</f>
        <v>2110953.7297379067</v>
      </c>
      <c r="O10" s="7">
        <v>0</v>
      </c>
      <c r="P10" s="7">
        <v>0</v>
      </c>
      <c r="Q10" s="7">
        <v>0</v>
      </c>
      <c r="R10" s="7">
        <v>0</v>
      </c>
      <c r="S10" s="7">
        <v>0</v>
      </c>
      <c r="T10" s="15">
        <f t="shared" si="3"/>
        <v>2110953.7297379067</v>
      </c>
      <c r="U10" s="15"/>
      <c r="V10" s="15"/>
      <c r="X10" s="7">
        <f>'3c. Europe'!F9</f>
        <v>554399.01119795092</v>
      </c>
      <c r="Y10" s="7">
        <v>0</v>
      </c>
      <c r="Z10" s="7">
        <v>0</v>
      </c>
      <c r="AA10" s="7">
        <v>0</v>
      </c>
      <c r="AB10" s="7">
        <v>0</v>
      </c>
      <c r="AC10" s="7">
        <v>0</v>
      </c>
      <c r="AD10" s="15">
        <f t="shared" si="5"/>
        <v>554399.01119795092</v>
      </c>
      <c r="AE10" s="15"/>
      <c r="AF10" s="15"/>
    </row>
    <row r="11" spans="1:33">
      <c r="A11" s="25" t="s">
        <v>260</v>
      </c>
      <c r="B11" s="7">
        <f>'2b. Inputs - Assets'!$C$20*'2a.ii Inputs - Canada Factors'!$B$35+'2b. Inputs - Assets'!$C$21*'2a.ii Inputs - Canada Factors'!$B$37</f>
        <v>265000</v>
      </c>
      <c r="C11" s="7">
        <v>0</v>
      </c>
      <c r="D11" s="7">
        <v>0</v>
      </c>
      <c r="E11" s="7">
        <v>0</v>
      </c>
      <c r="F11" s="7">
        <v>0</v>
      </c>
      <c r="G11" s="7">
        <v>0</v>
      </c>
      <c r="H11" s="15">
        <f t="shared" si="1"/>
        <v>265000</v>
      </c>
      <c r="I11" s="15"/>
      <c r="J11" s="15"/>
      <c r="K11" s="15"/>
      <c r="N11" s="7">
        <f>'2b. Inputs - Assets'!$I$20*'2a.ii Inputs - Canada Factors'!$B$35+'2b. Inputs - Assets'!$I$21*'2a.ii Inputs - Canada Factors'!$B$37</f>
        <v>2912000</v>
      </c>
      <c r="O11" s="7">
        <v>0</v>
      </c>
      <c r="P11" s="7">
        <v>0</v>
      </c>
      <c r="Q11" s="7">
        <v>0</v>
      </c>
      <c r="R11" s="7">
        <v>0</v>
      </c>
      <c r="S11" s="7">
        <v>0</v>
      </c>
      <c r="T11" s="15">
        <f t="shared" si="3"/>
        <v>2912000</v>
      </c>
      <c r="U11" s="15"/>
      <c r="V11" s="15"/>
      <c r="X11" s="7">
        <f>'2b. Inputs - Assets'!$C$20*'2a.ii Inputs - Canada Factors'!$B$35+'2b. Inputs - Assets'!$C$21*'2a.ii Inputs - Canada Factors'!$B$37</f>
        <v>265000</v>
      </c>
      <c r="Y11" s="7">
        <v>0</v>
      </c>
      <c r="Z11" s="7">
        <v>0</v>
      </c>
      <c r="AA11" s="7">
        <v>0</v>
      </c>
      <c r="AB11" s="7">
        <v>0</v>
      </c>
      <c r="AC11" s="7">
        <v>0</v>
      </c>
      <c r="AD11" s="15">
        <f t="shared" si="5"/>
        <v>265000</v>
      </c>
      <c r="AE11" s="15"/>
      <c r="AF11" s="15"/>
    </row>
    <row r="12" spans="1:33">
      <c r="A12" s="25" t="s">
        <v>261</v>
      </c>
      <c r="B12" s="7">
        <f>'2a.ii Inputs - Canada Factors'!$B$42*'2b. Inputs - Assets'!$B$19</f>
        <v>0</v>
      </c>
      <c r="C12" s="7">
        <v>0</v>
      </c>
      <c r="D12" s="7">
        <v>0</v>
      </c>
      <c r="E12" s="7">
        <v>0</v>
      </c>
      <c r="F12" s="7">
        <v>0</v>
      </c>
      <c r="G12" s="7">
        <v>0</v>
      </c>
      <c r="H12" s="15">
        <f t="shared" si="1"/>
        <v>0</v>
      </c>
      <c r="I12" s="15"/>
      <c r="J12" s="15"/>
      <c r="K12" s="15"/>
      <c r="N12" s="7">
        <f>'2a.ii Inputs - Canada Factors'!$B$42*'2b. Inputs - Assets'!$H$19</f>
        <v>0</v>
      </c>
      <c r="O12" s="7">
        <v>0</v>
      </c>
      <c r="P12" s="7">
        <v>0</v>
      </c>
      <c r="Q12" s="7">
        <v>0</v>
      </c>
      <c r="R12" s="7">
        <v>0</v>
      </c>
      <c r="S12" s="7">
        <v>0</v>
      </c>
      <c r="T12" s="15">
        <f t="shared" si="3"/>
        <v>0</v>
      </c>
      <c r="U12" s="15"/>
      <c r="V12" s="15"/>
      <c r="X12" s="7">
        <f>'2a.ii Inputs - Canada Factors'!$B$42*'2b. Inputs - Assets'!$B$19</f>
        <v>0</v>
      </c>
      <c r="Y12" s="7">
        <v>0</v>
      </c>
      <c r="Z12" s="7">
        <v>0</v>
      </c>
      <c r="AA12" s="7">
        <v>0</v>
      </c>
      <c r="AB12" s="7">
        <v>0</v>
      </c>
      <c r="AC12" s="7">
        <v>0</v>
      </c>
      <c r="AD12" s="15">
        <f t="shared" si="5"/>
        <v>0</v>
      </c>
      <c r="AE12" s="15"/>
      <c r="AF12" s="15"/>
    </row>
    <row r="13" spans="1:33">
      <c r="A13" s="25" t="s">
        <v>262</v>
      </c>
      <c r="B13" s="7">
        <v>0</v>
      </c>
      <c r="C13" s="7">
        <v>0</v>
      </c>
      <c r="D13" s="7">
        <v>0</v>
      </c>
      <c r="E13" s="7">
        <v>0</v>
      </c>
      <c r="F13" s="7">
        <v>0</v>
      </c>
      <c r="G13" s="7">
        <v>0</v>
      </c>
      <c r="H13" s="15">
        <f t="shared" si="1"/>
        <v>0</v>
      </c>
      <c r="I13" s="15"/>
      <c r="J13" s="15"/>
      <c r="K13" s="15"/>
      <c r="L13" t="s">
        <v>263</v>
      </c>
      <c r="N13" s="7">
        <v>0</v>
      </c>
      <c r="O13" s="7">
        <v>0</v>
      </c>
      <c r="P13" s="7">
        <v>0</v>
      </c>
      <c r="Q13" s="7">
        <v>0</v>
      </c>
      <c r="R13" s="7">
        <v>0</v>
      </c>
      <c r="S13" s="7">
        <v>0</v>
      </c>
      <c r="T13" s="15">
        <f t="shared" si="3"/>
        <v>0</v>
      </c>
      <c r="U13" s="15"/>
      <c r="V13" s="15"/>
      <c r="X13" s="7">
        <v>0</v>
      </c>
      <c r="Y13" s="7">
        <v>0</v>
      </c>
      <c r="Z13" s="7">
        <v>0</v>
      </c>
      <c r="AA13" s="7">
        <v>0</v>
      </c>
      <c r="AB13" s="7">
        <v>0</v>
      </c>
      <c r="AC13" s="7">
        <v>0</v>
      </c>
      <c r="AD13" s="15">
        <f t="shared" si="5"/>
        <v>0</v>
      </c>
      <c r="AE13" s="15"/>
      <c r="AF13" s="15"/>
    </row>
    <row r="14" spans="1:33">
      <c r="A14" s="25" t="s">
        <v>264</v>
      </c>
      <c r="B14" s="7">
        <v>0</v>
      </c>
      <c r="C14" s="7">
        <v>0</v>
      </c>
      <c r="D14" s="7">
        <v>0</v>
      </c>
      <c r="E14" s="7">
        <v>0</v>
      </c>
      <c r="F14" s="7">
        <v>0</v>
      </c>
      <c r="G14" s="7">
        <v>0</v>
      </c>
      <c r="H14" s="15">
        <f t="shared" si="1"/>
        <v>0</v>
      </c>
      <c r="I14" s="15"/>
      <c r="J14" s="15"/>
      <c r="K14" s="15"/>
      <c r="L14" t="s">
        <v>265</v>
      </c>
      <c r="N14" s="7">
        <v>0</v>
      </c>
      <c r="O14" s="7">
        <v>0</v>
      </c>
      <c r="P14" s="7">
        <v>0</v>
      </c>
      <c r="Q14" s="7">
        <v>0</v>
      </c>
      <c r="R14" s="7">
        <v>0</v>
      </c>
      <c r="S14" s="7">
        <v>0</v>
      </c>
      <c r="T14" s="15">
        <f t="shared" si="3"/>
        <v>0</v>
      </c>
      <c r="U14" s="15"/>
      <c r="V14" s="15"/>
      <c r="X14" s="7">
        <v>0</v>
      </c>
      <c r="Y14" s="7">
        <v>0</v>
      </c>
      <c r="Z14" s="7">
        <v>0</v>
      </c>
      <c r="AA14" s="7">
        <v>0</v>
      </c>
      <c r="AB14" s="7">
        <v>0</v>
      </c>
      <c r="AC14" s="7">
        <v>0</v>
      </c>
      <c r="AD14" s="15">
        <f t="shared" si="5"/>
        <v>0</v>
      </c>
      <c r="AE14" s="15"/>
      <c r="AF14" s="15"/>
    </row>
    <row r="15" spans="1:33">
      <c r="A15" s="25" t="s">
        <v>266</v>
      </c>
      <c r="B15" s="7">
        <v>0</v>
      </c>
      <c r="C15" s="7">
        <v>0</v>
      </c>
      <c r="D15" s="7">
        <v>0</v>
      </c>
      <c r="E15" s="7">
        <v>0</v>
      </c>
      <c r="F15" s="7">
        <v>0</v>
      </c>
      <c r="G15" s="7">
        <v>0</v>
      </c>
      <c r="H15" s="15">
        <f t="shared" si="1"/>
        <v>0</v>
      </c>
      <c r="I15" s="15"/>
      <c r="J15" s="15"/>
      <c r="K15" s="15"/>
      <c r="L15" t="s">
        <v>267</v>
      </c>
      <c r="N15" s="7">
        <v>0</v>
      </c>
      <c r="O15" s="7">
        <v>0</v>
      </c>
      <c r="P15" s="7">
        <v>0</v>
      </c>
      <c r="Q15" s="7">
        <v>0</v>
      </c>
      <c r="R15" s="7">
        <v>0</v>
      </c>
      <c r="S15" s="7">
        <v>0</v>
      </c>
      <c r="T15" s="15">
        <f t="shared" si="3"/>
        <v>0</v>
      </c>
      <c r="U15" s="15"/>
      <c r="V15" s="15"/>
      <c r="X15" s="7">
        <v>0</v>
      </c>
      <c r="Y15" s="7">
        <v>0</v>
      </c>
      <c r="Z15" s="7">
        <v>0</v>
      </c>
      <c r="AA15" s="7">
        <v>0</v>
      </c>
      <c r="AB15" s="7">
        <v>0</v>
      </c>
      <c r="AC15" s="7">
        <v>0</v>
      </c>
      <c r="AD15" s="15">
        <f t="shared" si="5"/>
        <v>0</v>
      </c>
      <c r="AE15" s="15"/>
      <c r="AF15" s="15"/>
    </row>
    <row r="16" spans="1:33">
      <c r="A16" s="25" t="s">
        <v>268</v>
      </c>
      <c r="B16" s="7">
        <v>0</v>
      </c>
      <c r="C16" s="7">
        <v>0</v>
      </c>
      <c r="D16" s="7">
        <v>0</v>
      </c>
      <c r="E16" s="7">
        <v>0</v>
      </c>
      <c r="F16" s="7">
        <v>0</v>
      </c>
      <c r="G16" s="7">
        <v>0</v>
      </c>
      <c r="H16" s="15">
        <f t="shared" si="1"/>
        <v>0</v>
      </c>
      <c r="I16" s="15"/>
      <c r="J16" s="15"/>
      <c r="K16" s="15"/>
      <c r="L16" t="s">
        <v>269</v>
      </c>
      <c r="N16" s="7">
        <v>0</v>
      </c>
      <c r="O16" s="7">
        <v>0</v>
      </c>
      <c r="P16" s="7">
        <v>0</v>
      </c>
      <c r="Q16" s="7">
        <v>0</v>
      </c>
      <c r="R16" s="7">
        <v>0</v>
      </c>
      <c r="S16" s="7">
        <v>0</v>
      </c>
      <c r="T16" s="15">
        <f t="shared" si="3"/>
        <v>0</v>
      </c>
      <c r="U16" s="15"/>
      <c r="V16" s="15"/>
      <c r="X16" s="7">
        <v>0</v>
      </c>
      <c r="Y16" s="7">
        <v>0</v>
      </c>
      <c r="Z16" s="7">
        <v>0</v>
      </c>
      <c r="AA16" s="7">
        <v>0</v>
      </c>
      <c r="AB16" s="7">
        <v>0</v>
      </c>
      <c r="AC16" s="7">
        <v>0</v>
      </c>
      <c r="AD16" s="15">
        <f t="shared" si="5"/>
        <v>0</v>
      </c>
      <c r="AE16" s="15"/>
      <c r="AF16" s="15"/>
    </row>
    <row r="17" spans="1:32">
      <c r="A17" s="25" t="s">
        <v>270</v>
      </c>
      <c r="B17" s="7">
        <v>0</v>
      </c>
      <c r="C17" s="7">
        <v>0</v>
      </c>
      <c r="D17" s="7">
        <v>0</v>
      </c>
      <c r="E17" s="7">
        <v>0</v>
      </c>
      <c r="F17" s="7">
        <v>0</v>
      </c>
      <c r="G17" s="7">
        <v>0</v>
      </c>
      <c r="H17" s="15">
        <f t="shared" si="1"/>
        <v>0</v>
      </c>
      <c r="I17" s="15"/>
      <c r="J17" s="15"/>
      <c r="K17" s="15"/>
      <c r="L17" t="s">
        <v>271</v>
      </c>
      <c r="N17" s="7">
        <v>0</v>
      </c>
      <c r="O17" s="7">
        <v>0</v>
      </c>
      <c r="P17" s="7">
        <v>0</v>
      </c>
      <c r="Q17" s="7">
        <v>0</v>
      </c>
      <c r="R17" s="7">
        <v>0</v>
      </c>
      <c r="S17" s="7">
        <v>0</v>
      </c>
      <c r="T17" s="15">
        <f t="shared" si="3"/>
        <v>0</v>
      </c>
      <c r="U17" s="15"/>
      <c r="V17" s="15"/>
      <c r="X17" s="7">
        <v>0</v>
      </c>
      <c r="Y17" s="7">
        <v>0</v>
      </c>
      <c r="Z17" s="7">
        <v>0</v>
      </c>
      <c r="AA17" s="7">
        <v>0</v>
      </c>
      <c r="AB17" s="7">
        <v>0</v>
      </c>
      <c r="AC17" s="7">
        <v>0</v>
      </c>
      <c r="AD17" s="15">
        <f t="shared" si="5"/>
        <v>0</v>
      </c>
      <c r="AE17" s="15"/>
      <c r="AF17" s="15"/>
    </row>
    <row r="18" spans="1:32">
      <c r="A18" t="s">
        <v>272</v>
      </c>
      <c r="B18" s="7">
        <f>SUM(B19:B25)</f>
        <v>2545000</v>
      </c>
      <c r="C18" s="7">
        <f>SUM(C19:C25)</f>
        <v>0</v>
      </c>
      <c r="D18" s="7">
        <f t="shared" ref="D18" si="6">SUM(D19:D25)</f>
        <v>0</v>
      </c>
      <c r="E18" s="7">
        <f t="shared" ref="E18" si="7">SUM(E19:E25)</f>
        <v>0</v>
      </c>
      <c r="F18" s="7">
        <f t="shared" ref="F18" si="8">SUM(F19:F25)</f>
        <v>0</v>
      </c>
      <c r="G18" s="7">
        <f t="shared" ref="G18" si="9">SUM(G19:G25)</f>
        <v>0</v>
      </c>
      <c r="H18" s="15">
        <f t="shared" ref="H18" si="10">SUM(H19:H25)</f>
        <v>2545000</v>
      </c>
      <c r="I18" s="15">
        <f>SUM(I19:I23)</f>
        <v>1779000</v>
      </c>
      <c r="J18" s="15">
        <f>MAX((J19^2+J20^2+J21^2+J22^2+J23^2+2*('2a.ii Inputs - Canada Factors'!$B$63*J19*J20+$B$67*J19*J21+'2a.ii Inputs - Canada Factors'!$B$67*J19*J22+'2a.ii Inputs - Canada Factors'!$B$68*J19*J23+$C$67*J20*J21+'2a.ii Inputs - Canada Factors'!$C$67*J20*J22+'2a.ii Inputs - Canada Factors'!$C$68*J20*J23+'2a.ii Inputs - Canada Factors'!$E$67*J21*J22+'2a.ii Inputs - Canada Factors'!$E$68*J21*J23+'2a.ii Inputs - Canada Factors'!$G$68*J22*J23))^(1/2),J19)</f>
        <v>1626963.8901954771</v>
      </c>
      <c r="K18" s="15"/>
      <c r="N18" s="7">
        <f>SUM(N19:N25)</f>
        <v>2545000</v>
      </c>
      <c r="O18" s="7">
        <f>SUM(O19:O25)</f>
        <v>0</v>
      </c>
      <c r="P18" s="7">
        <f t="shared" ref="P18" si="11">SUM(P19:P25)</f>
        <v>0</v>
      </c>
      <c r="Q18" s="7">
        <f t="shared" ref="Q18" si="12">SUM(Q19:Q25)</f>
        <v>0</v>
      </c>
      <c r="R18" s="7">
        <f t="shared" ref="R18" si="13">SUM(R19:R25)</f>
        <v>0</v>
      </c>
      <c r="S18" s="7">
        <f t="shared" ref="S18" si="14">SUM(S19:S25)</f>
        <v>0</v>
      </c>
      <c r="T18" s="15">
        <f t="shared" ref="T18" si="15">SUM(T19:T25)</f>
        <v>2545000</v>
      </c>
      <c r="U18" s="15">
        <f>SUM(U19:U23)</f>
        <v>1779000</v>
      </c>
      <c r="V18" s="15">
        <f>MAX((V19^2+V20^2+V21^2+V22^2+V23^2+2*('2a.ii Inputs - Canada Factors'!$B$63*V19*V20+$B$67*V19*V21+'2a.ii Inputs - Canada Factors'!$B$67*V19*V22+'2a.ii Inputs - Canada Factors'!$B$68*V19*V23+$C$67*V20*V21+'2a.ii Inputs - Canada Factors'!$C$67*V20*V22+'2a.ii Inputs - Canada Factors'!$C$68*V20*V23+'2a.ii Inputs - Canada Factors'!$E$67*V21*V22+'2a.ii Inputs - Canada Factors'!$E$68*V21*V23+'2a.ii Inputs - Canada Factors'!$G$68*V22*V23))^(1/2),V19)</f>
        <v>1626963.8901954771</v>
      </c>
      <c r="X18" s="7">
        <f>SUM(X19:X25)</f>
        <v>1092500</v>
      </c>
      <c r="Y18" s="7">
        <f t="shared" ref="Y18:AD18" si="16">SUM(Y19:Y25)</f>
        <v>0</v>
      </c>
      <c r="Z18" s="7">
        <f t="shared" si="16"/>
        <v>0</v>
      </c>
      <c r="AA18" s="7">
        <f t="shared" si="16"/>
        <v>0</v>
      </c>
      <c r="AB18" s="7">
        <f t="shared" si="16"/>
        <v>0</v>
      </c>
      <c r="AC18" s="7">
        <f t="shared" si="16"/>
        <v>0</v>
      </c>
      <c r="AD18" s="15">
        <f t="shared" si="16"/>
        <v>1092500</v>
      </c>
      <c r="AE18" s="15">
        <f>SUM(AE19:AE23)</f>
        <v>778000</v>
      </c>
      <c r="AF18" s="15">
        <f>MAX((AF19^2+AF20^2+AF21^2+AF22^2+AF23^2+2*('2a.ii Inputs - Canada Factors'!$B$63*AF19*AF20+$B$67*AF19*AF21+'2a.ii Inputs - Canada Factors'!$B$67*AF19*AF22+'2a.ii Inputs - Canada Factors'!$B$68*AF19*AF23+$C$67*AF20*AF21+'2a.ii Inputs - Canada Factors'!$C$67*AF20*AF22+'2a.ii Inputs - Canada Factors'!$C$68*AF20*AF23+'2a.ii Inputs - Canada Factors'!$E$67*AF21*AF22+'2a.ii Inputs - Canada Factors'!$E$68*AF21*AF23+'2a.ii Inputs - Canada Factors'!$G$68*AF22*AF23))^(1/2),AF19)</f>
        <v>650000</v>
      </c>
    </row>
    <row r="19" spans="1:32">
      <c r="A19" s="24" t="s">
        <v>89</v>
      </c>
      <c r="B19" s="42">
        <f>'2a.ii Inputs - Canada Factors'!$B$11</f>
        <v>2500000</v>
      </c>
      <c r="C19" s="7">
        <v>0</v>
      </c>
      <c r="D19" s="7">
        <v>0</v>
      </c>
      <c r="E19" s="7">
        <v>0</v>
      </c>
      <c r="F19" s="7">
        <v>0</v>
      </c>
      <c r="G19" s="7">
        <v>0</v>
      </c>
      <c r="H19" s="15">
        <f t="shared" si="1"/>
        <v>2500000</v>
      </c>
      <c r="I19" s="16">
        <f>H19*'2a.ii Inputs - Canada Factors'!$B$72</f>
        <v>1750000</v>
      </c>
      <c r="J19" s="16">
        <f>H19-0.5*I19</f>
        <v>1625000</v>
      </c>
      <c r="K19" s="15"/>
      <c r="L19" s="2"/>
      <c r="N19" s="42">
        <f>'2a.ii Inputs - Canada Factors'!$C$11</f>
        <v>2500000</v>
      </c>
      <c r="O19" s="7">
        <v>0</v>
      </c>
      <c r="P19" s="7">
        <v>0</v>
      </c>
      <c r="Q19" s="7">
        <v>0</v>
      </c>
      <c r="R19" s="7">
        <v>0</v>
      </c>
      <c r="S19" s="7">
        <v>0</v>
      </c>
      <c r="T19" s="15">
        <f t="shared" si="3"/>
        <v>2500000</v>
      </c>
      <c r="U19" s="16">
        <f>T19*'2a.ii Inputs - Canada Factors'!$B$72</f>
        <v>1750000</v>
      </c>
      <c r="V19" s="16">
        <f>T19-0.5*U19</f>
        <v>1625000</v>
      </c>
      <c r="X19" s="42">
        <f>'2a.ii Inputs - Canada Factors'!$D$11</f>
        <v>1000000</v>
      </c>
      <c r="Y19" s="7">
        <v>0</v>
      </c>
      <c r="Z19" s="7">
        <v>0</v>
      </c>
      <c r="AA19" s="7">
        <v>0</v>
      </c>
      <c r="AB19" s="7">
        <v>0</v>
      </c>
      <c r="AC19" s="7">
        <v>0</v>
      </c>
      <c r="AD19" s="15">
        <f t="shared" si="5"/>
        <v>1000000</v>
      </c>
      <c r="AE19" s="16">
        <f>AD19*'2a.ii Inputs - Canada Factors'!$B$72</f>
        <v>700000</v>
      </c>
      <c r="AF19" s="16">
        <f>AD19-0.5*AE19</f>
        <v>650000</v>
      </c>
    </row>
    <row r="20" spans="1:32">
      <c r="A20" s="24" t="s">
        <v>90</v>
      </c>
      <c r="B20" s="42">
        <f>'2a.ii Inputs - Canada Factors'!$B$12</f>
        <v>25000</v>
      </c>
      <c r="C20" s="7">
        <v>0</v>
      </c>
      <c r="D20" s="7">
        <v>0</v>
      </c>
      <c r="E20" s="7">
        <v>0</v>
      </c>
      <c r="F20" s="7">
        <v>0</v>
      </c>
      <c r="G20" s="7">
        <v>0</v>
      </c>
      <c r="H20" s="15">
        <f t="shared" si="1"/>
        <v>25000</v>
      </c>
      <c r="I20" s="16">
        <f>H20*'2a.ii Inputs - Canada Factors'!$B$73</f>
        <v>25000</v>
      </c>
      <c r="J20" s="16">
        <f t="shared" ref="J20:J23" si="17">H20-0.5*I20</f>
        <v>12500</v>
      </c>
      <c r="K20" s="15"/>
      <c r="L20" s="42"/>
      <c r="M20" s="2"/>
      <c r="N20" s="71">
        <f>'2a.ii Inputs - Canada Factors'!$C$12</f>
        <v>25000</v>
      </c>
      <c r="O20" s="7">
        <v>0</v>
      </c>
      <c r="P20" s="7">
        <v>0</v>
      </c>
      <c r="Q20" s="7">
        <v>0</v>
      </c>
      <c r="R20" s="7">
        <v>0</v>
      </c>
      <c r="S20" s="7">
        <v>0</v>
      </c>
      <c r="T20" s="15">
        <f t="shared" si="3"/>
        <v>25000</v>
      </c>
      <c r="U20" s="16">
        <f>T20*'2a.ii Inputs - Canada Factors'!$B$73</f>
        <v>25000</v>
      </c>
      <c r="V20" s="16">
        <f t="shared" ref="V20:V23" si="18">T20-0.5*U20</f>
        <v>12500</v>
      </c>
      <c r="X20" s="71">
        <f>'2a.ii Inputs - Canada Factors'!$D$12</f>
        <v>75000</v>
      </c>
      <c r="Y20" s="7">
        <v>0</v>
      </c>
      <c r="Z20" s="7">
        <v>0</v>
      </c>
      <c r="AA20" s="7">
        <v>0</v>
      </c>
      <c r="AB20" s="7">
        <v>0</v>
      </c>
      <c r="AC20" s="7">
        <v>0</v>
      </c>
      <c r="AD20" s="15">
        <f t="shared" si="5"/>
        <v>75000</v>
      </c>
      <c r="AE20" s="16">
        <f>AD20*'2a.ii Inputs - Canada Factors'!$B$73</f>
        <v>75000</v>
      </c>
      <c r="AF20" s="16">
        <f t="shared" ref="AF20:AF23" si="19">AD20-0.5*AE20</f>
        <v>37500</v>
      </c>
    </row>
    <row r="21" spans="1:32">
      <c r="A21" s="24" t="s">
        <v>273</v>
      </c>
      <c r="B21" s="7">
        <v>0</v>
      </c>
      <c r="C21" s="7">
        <v>0</v>
      </c>
      <c r="D21" s="7">
        <v>0</v>
      </c>
      <c r="E21" s="7">
        <v>0</v>
      </c>
      <c r="F21" s="7">
        <v>0</v>
      </c>
      <c r="G21" s="7">
        <v>0</v>
      </c>
      <c r="H21" s="15">
        <f t="shared" si="1"/>
        <v>0</v>
      </c>
      <c r="I21" s="16">
        <f>H21*'2a.ii Inputs - Canada Factors'!$B$74</f>
        <v>0</v>
      </c>
      <c r="J21" s="16">
        <f t="shared" si="17"/>
        <v>0</v>
      </c>
      <c r="K21" s="15"/>
      <c r="N21" s="7">
        <v>0</v>
      </c>
      <c r="O21" s="7">
        <v>0</v>
      </c>
      <c r="P21" s="7">
        <v>0</v>
      </c>
      <c r="Q21" s="7">
        <v>0</v>
      </c>
      <c r="R21" s="7">
        <v>0</v>
      </c>
      <c r="S21" s="7">
        <v>0</v>
      </c>
      <c r="T21" s="15">
        <f t="shared" si="3"/>
        <v>0</v>
      </c>
      <c r="U21" s="16">
        <f>T21*'2a.ii Inputs - Canada Factors'!$B$74</f>
        <v>0</v>
      </c>
      <c r="V21" s="16">
        <f t="shared" si="18"/>
        <v>0</v>
      </c>
      <c r="X21" s="7">
        <v>0</v>
      </c>
      <c r="Y21" s="7">
        <v>0</v>
      </c>
      <c r="Z21" s="7">
        <v>0</v>
      </c>
      <c r="AA21" s="7">
        <v>0</v>
      </c>
      <c r="AB21" s="7">
        <v>0</v>
      </c>
      <c r="AC21" s="7">
        <v>0</v>
      </c>
      <c r="AD21" s="15">
        <f t="shared" si="5"/>
        <v>0</v>
      </c>
      <c r="AE21" s="16">
        <f>AD21*'2a.ii Inputs - Canada Factors'!$B$74</f>
        <v>0</v>
      </c>
      <c r="AF21" s="16">
        <f t="shared" si="19"/>
        <v>0</v>
      </c>
    </row>
    <row r="22" spans="1:32">
      <c r="A22" s="24" t="s">
        <v>91</v>
      </c>
      <c r="B22" s="42">
        <f>'2a.ii Inputs - Canada Factors'!$B$13</f>
        <v>10000</v>
      </c>
      <c r="C22" s="7">
        <v>0</v>
      </c>
      <c r="D22" s="7">
        <v>0</v>
      </c>
      <c r="E22" s="7">
        <v>0</v>
      </c>
      <c r="F22" s="7">
        <v>0</v>
      </c>
      <c r="G22" s="7">
        <v>0</v>
      </c>
      <c r="H22" s="15">
        <f t="shared" si="1"/>
        <v>10000</v>
      </c>
      <c r="I22" s="16">
        <f>H22*'2a.ii Inputs - Canada Factors'!$B$75</f>
        <v>4000</v>
      </c>
      <c r="J22" s="16">
        <f t="shared" si="17"/>
        <v>8000</v>
      </c>
      <c r="K22" s="15"/>
      <c r="L22" t="s">
        <v>274</v>
      </c>
      <c r="N22" s="42">
        <f>'2a.ii Inputs - Canada Factors'!$C$13</f>
        <v>10000</v>
      </c>
      <c r="O22" s="7">
        <v>0</v>
      </c>
      <c r="P22" s="7">
        <v>0</v>
      </c>
      <c r="Q22" s="7">
        <v>0</v>
      </c>
      <c r="R22" s="7">
        <v>0</v>
      </c>
      <c r="S22" s="7">
        <v>0</v>
      </c>
      <c r="T22" s="15">
        <f t="shared" si="3"/>
        <v>10000</v>
      </c>
      <c r="U22" s="16">
        <f>T22*'2a.ii Inputs - Canada Factors'!$B$75</f>
        <v>4000</v>
      </c>
      <c r="V22" s="16">
        <f t="shared" si="18"/>
        <v>8000</v>
      </c>
      <c r="X22" s="42">
        <f>'2a.ii Inputs - Canada Factors'!$D$13</f>
        <v>7500</v>
      </c>
      <c r="Y22" s="7">
        <v>0</v>
      </c>
      <c r="Z22" s="7">
        <v>0</v>
      </c>
      <c r="AA22" s="7">
        <v>0</v>
      </c>
      <c r="AB22" s="7">
        <v>0</v>
      </c>
      <c r="AC22" s="7">
        <v>0</v>
      </c>
      <c r="AD22" s="15">
        <f t="shared" si="5"/>
        <v>7500</v>
      </c>
      <c r="AE22" s="16">
        <f>AD22*'2a.ii Inputs - Canada Factors'!$B$75</f>
        <v>3000</v>
      </c>
      <c r="AF22" s="16">
        <f t="shared" si="19"/>
        <v>6000</v>
      </c>
    </row>
    <row r="23" spans="1:32">
      <c r="A23" s="24" t="s">
        <v>92</v>
      </c>
      <c r="B23" s="42">
        <f>'2a.ii Inputs - Canada Factors'!$B$14</f>
        <v>10000</v>
      </c>
      <c r="C23" s="7">
        <v>0</v>
      </c>
      <c r="D23" s="7">
        <v>0</v>
      </c>
      <c r="E23" s="7">
        <v>0</v>
      </c>
      <c r="F23" s="7">
        <v>0</v>
      </c>
      <c r="G23" s="7">
        <v>0</v>
      </c>
      <c r="H23" s="15">
        <f t="shared" si="1"/>
        <v>10000</v>
      </c>
      <c r="I23" s="16">
        <f>H23*'2a.ii Inputs - Canada Factors'!$B$76</f>
        <v>0</v>
      </c>
      <c r="J23" s="16">
        <f t="shared" si="17"/>
        <v>10000</v>
      </c>
      <c r="K23" s="15"/>
      <c r="N23" s="42">
        <f>'2a.ii Inputs - Canada Factors'!$C$14</f>
        <v>10000</v>
      </c>
      <c r="O23" s="7">
        <v>0</v>
      </c>
      <c r="P23" s="7">
        <v>0</v>
      </c>
      <c r="Q23" s="7">
        <v>0</v>
      </c>
      <c r="R23" s="7">
        <v>0</v>
      </c>
      <c r="S23" s="7">
        <v>0</v>
      </c>
      <c r="T23" s="15">
        <f t="shared" si="3"/>
        <v>10000</v>
      </c>
      <c r="U23" s="16">
        <f>T23*'2a.ii Inputs - Canada Factors'!$B$76</f>
        <v>0</v>
      </c>
      <c r="V23" s="16">
        <f t="shared" si="18"/>
        <v>10000</v>
      </c>
      <c r="X23" s="42">
        <f>'2a.ii Inputs - Canada Factors'!$D$14</f>
        <v>10000</v>
      </c>
      <c r="Y23" s="7">
        <v>0</v>
      </c>
      <c r="Z23" s="7">
        <v>0</v>
      </c>
      <c r="AA23" s="7">
        <v>0</v>
      </c>
      <c r="AB23" s="7">
        <v>0</v>
      </c>
      <c r="AC23" s="7">
        <v>0</v>
      </c>
      <c r="AD23" s="15">
        <f t="shared" si="5"/>
        <v>10000</v>
      </c>
      <c r="AE23" s="16">
        <f>AD23*'2a.ii Inputs - Canada Factors'!$B$76</f>
        <v>0</v>
      </c>
      <c r="AF23" s="16">
        <f t="shared" si="19"/>
        <v>10000</v>
      </c>
    </row>
    <row r="24" spans="1:32">
      <c r="A24" s="24" t="s">
        <v>340</v>
      </c>
      <c r="B24" s="42">
        <f>'2a.ii Inputs - Canada Factors'!$B$15</f>
        <v>0</v>
      </c>
      <c r="C24" s="7">
        <v>0</v>
      </c>
      <c r="D24" s="7">
        <v>0</v>
      </c>
      <c r="E24" s="7">
        <v>0</v>
      </c>
      <c r="F24" s="7">
        <v>0</v>
      </c>
      <c r="G24" s="7">
        <v>0</v>
      </c>
      <c r="H24" s="15">
        <f t="shared" ref="H24:H25" si="20">SUM(B24:G24)</f>
        <v>0</v>
      </c>
      <c r="I24" s="16"/>
      <c r="J24" s="16"/>
      <c r="K24" s="15"/>
      <c r="N24" s="42">
        <f>'2a.ii Inputs - Canada Factors'!$C$15</f>
        <v>0</v>
      </c>
      <c r="O24" s="7">
        <v>0</v>
      </c>
      <c r="P24" s="7">
        <v>0</v>
      </c>
      <c r="Q24" s="7">
        <v>0</v>
      </c>
      <c r="R24" s="7">
        <v>0</v>
      </c>
      <c r="S24" s="7">
        <v>0</v>
      </c>
      <c r="T24" s="15">
        <f t="shared" si="3"/>
        <v>0</v>
      </c>
      <c r="U24" s="16"/>
      <c r="V24" s="16"/>
      <c r="X24" s="42">
        <f>'2a.ii Inputs - Canada Factors'!$D$15</f>
        <v>0</v>
      </c>
      <c r="Y24" s="7">
        <v>0</v>
      </c>
      <c r="Z24" s="7">
        <v>0</v>
      </c>
      <c r="AA24" s="7">
        <v>0</v>
      </c>
      <c r="AB24" s="7">
        <v>0</v>
      </c>
      <c r="AC24" s="7">
        <v>0</v>
      </c>
      <c r="AD24" s="15">
        <f t="shared" si="5"/>
        <v>0</v>
      </c>
      <c r="AE24" s="16"/>
      <c r="AF24" s="16"/>
    </row>
    <row r="25" spans="1:32">
      <c r="A25" s="24" t="s">
        <v>617</v>
      </c>
      <c r="B25" s="42">
        <f>'2a.ii Inputs - Canada Factors'!$B$16</f>
        <v>0</v>
      </c>
      <c r="C25" s="7">
        <v>0</v>
      </c>
      <c r="D25" s="7">
        <v>0</v>
      </c>
      <c r="E25" s="7">
        <v>0</v>
      </c>
      <c r="F25" s="7">
        <v>0</v>
      </c>
      <c r="G25" s="7">
        <v>0</v>
      </c>
      <c r="H25" s="15">
        <f t="shared" si="20"/>
        <v>0</v>
      </c>
      <c r="I25" s="16"/>
      <c r="J25" s="16"/>
      <c r="K25" s="15"/>
      <c r="N25" s="42">
        <f>'2a.ii Inputs - Canada Factors'!$C$16</f>
        <v>0</v>
      </c>
      <c r="O25" s="7">
        <v>0</v>
      </c>
      <c r="P25" s="7">
        <v>0</v>
      </c>
      <c r="Q25" s="7">
        <v>0</v>
      </c>
      <c r="R25" s="7">
        <v>0</v>
      </c>
      <c r="S25" s="7">
        <v>0</v>
      </c>
      <c r="T25" s="15">
        <f t="shared" si="3"/>
        <v>0</v>
      </c>
      <c r="U25" s="16"/>
      <c r="V25" s="16"/>
      <c r="X25" s="42">
        <f>'2a.ii Inputs - Canada Factors'!$D$16</f>
        <v>0</v>
      </c>
      <c r="Y25" s="7">
        <v>0</v>
      </c>
      <c r="Z25" s="7">
        <v>0</v>
      </c>
      <c r="AA25" s="7">
        <v>0</v>
      </c>
      <c r="AB25" s="7">
        <v>0</v>
      </c>
      <c r="AC25" s="7">
        <v>0</v>
      </c>
      <c r="AD25" s="15">
        <f t="shared" si="5"/>
        <v>0</v>
      </c>
      <c r="AE25" s="16"/>
      <c r="AF25" s="16"/>
    </row>
    <row r="26" spans="1:32">
      <c r="A26" t="s">
        <v>275</v>
      </c>
      <c r="B26" s="7">
        <v>0</v>
      </c>
      <c r="C26" s="7">
        <v>0</v>
      </c>
      <c r="D26" s="7">
        <v>0</v>
      </c>
      <c r="E26" s="7">
        <v>0</v>
      </c>
      <c r="F26" s="7">
        <v>0</v>
      </c>
      <c r="G26" s="7">
        <v>0</v>
      </c>
      <c r="H26" s="15">
        <f t="shared" si="1"/>
        <v>0</v>
      </c>
      <c r="I26" s="15"/>
      <c r="J26" s="15"/>
      <c r="K26" s="15"/>
      <c r="L26" t="s">
        <v>276</v>
      </c>
      <c r="N26" s="7">
        <v>0</v>
      </c>
      <c r="O26" s="7">
        <v>0</v>
      </c>
      <c r="P26" s="7">
        <v>0</v>
      </c>
      <c r="Q26" s="7">
        <v>0</v>
      </c>
      <c r="R26" s="7">
        <v>0</v>
      </c>
      <c r="S26" s="7">
        <v>0</v>
      </c>
      <c r="T26" s="15">
        <f t="shared" si="3"/>
        <v>0</v>
      </c>
      <c r="U26" s="15"/>
      <c r="V26" s="15"/>
      <c r="X26" s="7">
        <v>0</v>
      </c>
      <c r="Y26" s="7">
        <v>0</v>
      </c>
      <c r="Z26" s="7">
        <v>0</v>
      </c>
      <c r="AA26" s="7">
        <v>0</v>
      </c>
      <c r="AB26" s="7">
        <v>0</v>
      </c>
      <c r="AC26" s="7">
        <v>0</v>
      </c>
      <c r="AD26" s="15">
        <f t="shared" si="5"/>
        <v>0</v>
      </c>
      <c r="AE26" s="15"/>
      <c r="AF26" s="15"/>
    </row>
    <row r="27" spans="1:32">
      <c r="A27" t="s">
        <v>112</v>
      </c>
      <c r="B27" s="7">
        <f>SUM(B28:B30)</f>
        <v>257261.34872557138</v>
      </c>
      <c r="C27" s="7">
        <f t="shared" ref="C27:G27" si="21">SUM(C28:C30)</f>
        <v>0</v>
      </c>
      <c r="D27" s="7">
        <f t="shared" si="21"/>
        <v>0</v>
      </c>
      <c r="E27" s="7">
        <f t="shared" si="21"/>
        <v>0</v>
      </c>
      <c r="F27" s="7">
        <f t="shared" si="21"/>
        <v>0</v>
      </c>
      <c r="G27" s="7">
        <f t="shared" si="21"/>
        <v>0</v>
      </c>
      <c r="H27" s="15">
        <f t="shared" si="1"/>
        <v>257261.34872557138</v>
      </c>
      <c r="I27" s="15"/>
      <c r="J27" s="15"/>
      <c r="K27" s="15"/>
      <c r="N27" s="7">
        <f>SUM(N28:N30)</f>
        <v>441959.58945992967</v>
      </c>
      <c r="O27" s="7">
        <f t="shared" ref="O27:S27" si="22">SUM(O28:O30)</f>
        <v>0</v>
      </c>
      <c r="P27" s="7">
        <f t="shared" si="22"/>
        <v>0</v>
      </c>
      <c r="Q27" s="7">
        <f t="shared" si="22"/>
        <v>0</v>
      </c>
      <c r="R27" s="7">
        <f t="shared" si="22"/>
        <v>0</v>
      </c>
      <c r="S27" s="7">
        <f t="shared" si="22"/>
        <v>0</v>
      </c>
      <c r="T27" s="15">
        <f t="shared" si="3"/>
        <v>441959.58945992967</v>
      </c>
      <c r="U27" s="15"/>
      <c r="V27" s="15"/>
      <c r="X27" s="7">
        <f>SUM(X28:X30)</f>
        <v>124524.81814388216</v>
      </c>
      <c r="Y27" s="7">
        <f t="shared" ref="Y27:AC27" si="23">SUM(Y28:Y30)</f>
        <v>0</v>
      </c>
      <c r="Z27" s="7">
        <f t="shared" si="23"/>
        <v>0</v>
      </c>
      <c r="AA27" s="7">
        <f t="shared" si="23"/>
        <v>0</v>
      </c>
      <c r="AB27" s="7">
        <f t="shared" si="23"/>
        <v>0</v>
      </c>
      <c r="AC27" s="7">
        <f t="shared" si="23"/>
        <v>0</v>
      </c>
      <c r="AD27" s="15">
        <f t="shared" si="5"/>
        <v>124524.81814388216</v>
      </c>
      <c r="AE27" s="15"/>
      <c r="AF27" s="15"/>
    </row>
    <row r="28" spans="1:32">
      <c r="A28" s="24" t="s">
        <v>113</v>
      </c>
      <c r="B28" s="7">
        <f>'2c. Inputs - Liabilities'!$J$19*'2a.ii Inputs - Canada Factors'!$B$48+'2a.ii Inputs - Canada Factors'!$B$54*'2c. Inputs - Liabilities'!$H$20</f>
        <v>0</v>
      </c>
      <c r="C28" s="7">
        <v>0</v>
      </c>
      <c r="D28" s="7">
        <v>0</v>
      </c>
      <c r="E28" s="7">
        <v>0</v>
      </c>
      <c r="F28" s="7">
        <v>0</v>
      </c>
      <c r="G28" s="7">
        <v>0</v>
      </c>
      <c r="H28" s="15">
        <f t="shared" si="1"/>
        <v>0</v>
      </c>
      <c r="I28" s="15"/>
      <c r="J28" s="15"/>
      <c r="K28" s="15"/>
      <c r="N28" s="7">
        <f>'2c. Inputs - Liabilities'!$J$19*'2a.ii Inputs - Canada Factors'!$B$48+'2a.ii Inputs - Canada Factors'!$B$54*'2c. Inputs - Liabilities'!$H$20</f>
        <v>0</v>
      </c>
      <c r="O28" s="7">
        <v>0</v>
      </c>
      <c r="P28" s="7">
        <v>0</v>
      </c>
      <c r="Q28" s="7">
        <v>0</v>
      </c>
      <c r="R28" s="7">
        <v>0</v>
      </c>
      <c r="S28" s="7">
        <v>0</v>
      </c>
      <c r="T28" s="15">
        <f t="shared" si="3"/>
        <v>0</v>
      </c>
      <c r="U28" s="15"/>
      <c r="V28" s="15"/>
      <c r="X28" s="7">
        <f>'2c. Inputs - Liabilities'!$J$30*'2a.ii Inputs - Canada Factors'!$B$48+'2a.ii Inputs - Canada Factors'!$B$54*'2c. Inputs - Liabilities'!$H$31</f>
        <v>0</v>
      </c>
      <c r="Y28" s="7">
        <v>0</v>
      </c>
      <c r="Z28" s="7">
        <v>0</v>
      </c>
      <c r="AA28" s="7">
        <v>0</v>
      </c>
      <c r="AB28" s="7">
        <v>0</v>
      </c>
      <c r="AC28" s="7">
        <v>0</v>
      </c>
      <c r="AD28" s="15">
        <f t="shared" si="5"/>
        <v>0</v>
      </c>
      <c r="AE28" s="15"/>
      <c r="AF28" s="15"/>
    </row>
    <row r="29" spans="1:32">
      <c r="A29" s="24" t="s">
        <v>277</v>
      </c>
      <c r="B29" s="7">
        <v>0</v>
      </c>
      <c r="C29" s="7">
        <v>0</v>
      </c>
      <c r="D29" s="7">
        <v>0</v>
      </c>
      <c r="E29" s="7">
        <v>0</v>
      </c>
      <c r="F29" s="7">
        <v>0</v>
      </c>
      <c r="G29" s="7">
        <v>0</v>
      </c>
      <c r="H29" s="15">
        <f t="shared" si="1"/>
        <v>0</v>
      </c>
      <c r="I29" s="15"/>
      <c r="J29" s="15"/>
      <c r="K29" s="15"/>
      <c r="L29" t="s">
        <v>278</v>
      </c>
      <c r="N29" s="7">
        <v>0</v>
      </c>
      <c r="O29" s="7">
        <v>0</v>
      </c>
      <c r="P29" s="7">
        <v>0</v>
      </c>
      <c r="Q29" s="7">
        <v>0</v>
      </c>
      <c r="R29" s="7">
        <v>0</v>
      </c>
      <c r="S29" s="7">
        <v>0</v>
      </c>
      <c r="T29" s="15">
        <f t="shared" si="3"/>
        <v>0</v>
      </c>
      <c r="U29" s="15"/>
      <c r="V29" s="15"/>
      <c r="X29" s="7">
        <v>0</v>
      </c>
      <c r="Y29" s="7">
        <v>0</v>
      </c>
      <c r="Z29" s="7">
        <v>0</v>
      </c>
      <c r="AA29" s="7">
        <v>0</v>
      </c>
      <c r="AB29" s="7">
        <v>0</v>
      </c>
      <c r="AC29" s="7">
        <v>0</v>
      </c>
      <c r="AD29" s="15">
        <f t="shared" si="5"/>
        <v>0</v>
      </c>
      <c r="AE29" s="15"/>
      <c r="AF29" s="15"/>
    </row>
    <row r="30" spans="1:32">
      <c r="A30" s="24" t="s">
        <v>279</v>
      </c>
      <c r="B30" s="7">
        <f>'2a.ii Inputs - Canada Factors'!$B$55*SUM(B8,B9,B18)+'2a.ii Inputs - Canada Factors'!$B$56*0+'2a.ii Inputs - Canada Factors'!$B$57*0</f>
        <v>257261.34872557138</v>
      </c>
      <c r="C30" s="7">
        <f>'2a.ii Inputs - Canada Factors'!$B$55*SUM(C8,C9,C18)+'2a.ii Inputs - Canada Factors'!$B$56*0+'2a.ii Inputs - Canada Factors'!$B$57*0</f>
        <v>0</v>
      </c>
      <c r="D30" s="7">
        <f>'2a.ii Inputs - Canada Factors'!$B$55*SUM(D8,D9,D18)+'2a.ii Inputs - Canada Factors'!$B$56*0+'2a.ii Inputs - Canada Factors'!$B$57*0</f>
        <v>0</v>
      </c>
      <c r="E30" s="7">
        <f>'2a.ii Inputs - Canada Factors'!$B$55*SUM(E8,E9,E18)+'2a.ii Inputs - Canada Factors'!$B$56*0+'2a.ii Inputs - Canada Factors'!$B$57*0</f>
        <v>0</v>
      </c>
      <c r="F30" s="7">
        <f>'2a.ii Inputs - Canada Factors'!$B$55*SUM(F8,F9,F18)+'2a.ii Inputs - Canada Factors'!$B$56*0+'2a.ii Inputs - Canada Factors'!$B$57*0</f>
        <v>0</v>
      </c>
      <c r="G30" s="7">
        <f>'2a.ii Inputs - Canada Factors'!$B$55*SUM(G8,G9,G18)+'2a.ii Inputs - Canada Factors'!$B$56*0+'2a.ii Inputs - Canada Factors'!$B$57*0</f>
        <v>0</v>
      </c>
      <c r="H30" s="15">
        <f t="shared" si="1"/>
        <v>257261.34872557138</v>
      </c>
      <c r="I30" s="15"/>
      <c r="J30" s="15"/>
      <c r="K30" s="15"/>
      <c r="N30" s="7">
        <f>'2a.ii Inputs - Canada Factors'!$B$55*SUM(N8,N9,N18)+'2a.ii Inputs - Canada Factors'!$B$56*0+'2a.ii Inputs - Canada Factors'!$B$57*0</f>
        <v>441959.58945992967</v>
      </c>
      <c r="O30" s="7">
        <f>'2a.ii Inputs - Canada Factors'!$B$55*SUM(O8,O9,O18)+'2a.ii Inputs - Canada Factors'!$B$56*0+'2a.ii Inputs - Canada Factors'!$B$57*0</f>
        <v>0</v>
      </c>
      <c r="P30" s="7">
        <f>'2a.ii Inputs - Canada Factors'!$B$55*SUM(P8,P9,P18)+'2a.ii Inputs - Canada Factors'!$B$56*0+'2a.ii Inputs - Canada Factors'!$B$57*0</f>
        <v>0</v>
      </c>
      <c r="Q30" s="7">
        <f>'2a.ii Inputs - Canada Factors'!$B$55*SUM(Q8,Q9,Q18)+'2a.ii Inputs - Canada Factors'!$B$56*0+'2a.ii Inputs - Canada Factors'!$B$57*0</f>
        <v>0</v>
      </c>
      <c r="R30" s="7">
        <f>'2a.ii Inputs - Canada Factors'!$B$55*SUM(R8,R9,R18)+'2a.ii Inputs - Canada Factors'!$B$56*0+'2a.ii Inputs - Canada Factors'!$B$57*0</f>
        <v>0</v>
      </c>
      <c r="S30" s="7">
        <f>'2a.ii Inputs - Canada Factors'!$B$55*SUM(S8,S9,S18)+'2a.ii Inputs - Canada Factors'!$B$56*0+'2a.ii Inputs - Canada Factors'!$B$57*0</f>
        <v>0</v>
      </c>
      <c r="T30" s="15">
        <f t="shared" si="3"/>
        <v>441959.58945992967</v>
      </c>
      <c r="U30" s="15"/>
      <c r="V30" s="15"/>
      <c r="X30" s="7">
        <f>'2a.ii Inputs - Canada Factors'!$B$55*SUM(X8,X9,X18)+'2a.ii Inputs - Canada Factors'!$B$56*0+'2a.ii Inputs - Canada Factors'!$B$57*0</f>
        <v>124524.81814388216</v>
      </c>
      <c r="Y30" s="7">
        <f>'2a.ii Inputs - Canada Factors'!$B$55*SUM(Y8,Y9,Y18)+'2a.ii Inputs - Canada Factors'!$B$56*0+'2a.ii Inputs - Canada Factors'!$B$57*0</f>
        <v>0</v>
      </c>
      <c r="Z30" s="7">
        <f>'2a.ii Inputs - Canada Factors'!$B$55*SUM(Z8,Z9,Z18)+'2a.ii Inputs - Canada Factors'!$B$56*0+'2a.ii Inputs - Canada Factors'!$B$57*0</f>
        <v>0</v>
      </c>
      <c r="AA30" s="7">
        <f>'2a.ii Inputs - Canada Factors'!$B$55*SUM(AA8,AA9,AA18)+'2a.ii Inputs - Canada Factors'!$B$56*0+'2a.ii Inputs - Canada Factors'!$B$57*0</f>
        <v>0</v>
      </c>
      <c r="AB30" s="7">
        <f>'2a.ii Inputs - Canada Factors'!$B$55*SUM(AB8,AB9,AB18)+'2a.ii Inputs - Canada Factors'!$B$56*0+'2a.ii Inputs - Canada Factors'!$B$57*0</f>
        <v>0</v>
      </c>
      <c r="AC30" s="7">
        <f>'2a.ii Inputs - Canada Factors'!$B$55*SUM(AC8,AC9,AC18)+'2a.ii Inputs - Canada Factors'!$B$56*0+'2a.ii Inputs - Canada Factors'!$B$57*0</f>
        <v>0</v>
      </c>
      <c r="AD30" s="15">
        <f t="shared" si="5"/>
        <v>124524.81814388216</v>
      </c>
      <c r="AE30" s="15"/>
      <c r="AF30" s="15"/>
    </row>
    <row r="31" spans="1:32" s="1" customFormat="1">
      <c r="A31" s="1" t="s">
        <v>280</v>
      </c>
      <c r="B31" s="15">
        <f>B8+B9+B18+B26+B27</f>
        <v>4731371.7613442037</v>
      </c>
      <c r="C31" s="15">
        <f t="shared" ref="C31:G31" si="24">C8+C9+C18+C26+C27</f>
        <v>0</v>
      </c>
      <c r="D31" s="15">
        <f t="shared" si="24"/>
        <v>0</v>
      </c>
      <c r="E31" s="15">
        <f t="shared" si="24"/>
        <v>0</v>
      </c>
      <c r="F31" s="15">
        <f t="shared" si="24"/>
        <v>0</v>
      </c>
      <c r="G31" s="15">
        <f t="shared" si="24"/>
        <v>0</v>
      </c>
      <c r="H31" s="15">
        <f>H8+H9+H18+H26+H27</f>
        <v>4731371.7613442037</v>
      </c>
      <c r="I31" s="15"/>
      <c r="J31" s="15"/>
      <c r="K31" s="15"/>
      <c r="N31" s="15">
        <f>N8+N9+N18+N26+N27</f>
        <v>8128213.3191978363</v>
      </c>
      <c r="O31" s="15">
        <f t="shared" ref="O31:T31" si="25">O8+O9+O18+O26+O27</f>
        <v>0</v>
      </c>
      <c r="P31" s="15">
        <f t="shared" si="25"/>
        <v>0</v>
      </c>
      <c r="Q31" s="15">
        <f t="shared" si="25"/>
        <v>0</v>
      </c>
      <c r="R31" s="15">
        <f t="shared" si="25"/>
        <v>0</v>
      </c>
      <c r="S31" s="15">
        <f t="shared" si="25"/>
        <v>0</v>
      </c>
      <c r="T31" s="15">
        <f t="shared" si="25"/>
        <v>8128213.3191978363</v>
      </c>
      <c r="U31" s="15"/>
      <c r="V31" s="15"/>
      <c r="X31" s="15">
        <f>X8+X9+X18+X26+X27</f>
        <v>2290173.829341833</v>
      </c>
      <c r="Y31" s="15">
        <f t="shared" ref="Y31:AD31" si="26">Y8+Y9+Y18+Y26+Y27</f>
        <v>0</v>
      </c>
      <c r="Z31" s="15">
        <f t="shared" si="26"/>
        <v>0</v>
      </c>
      <c r="AA31" s="15">
        <f t="shared" si="26"/>
        <v>0</v>
      </c>
      <c r="AB31" s="15">
        <f t="shared" si="26"/>
        <v>0</v>
      </c>
      <c r="AC31" s="15">
        <f t="shared" si="26"/>
        <v>0</v>
      </c>
      <c r="AD31" s="15">
        <f t="shared" si="26"/>
        <v>2290173.829341833</v>
      </c>
      <c r="AE31" s="15"/>
      <c r="AF31" s="15"/>
    </row>
    <row r="32" spans="1:32" s="1" customFormat="1">
      <c r="A32" t="s">
        <v>604</v>
      </c>
      <c r="B32" s="16">
        <f t="shared" ref="B32:G32" si="27">B8+B9</f>
        <v>1929110.4126186322</v>
      </c>
      <c r="C32" s="16">
        <f t="shared" si="27"/>
        <v>0</v>
      </c>
      <c r="D32" s="16">
        <f t="shared" si="27"/>
        <v>0</v>
      </c>
      <c r="E32" s="16">
        <f t="shared" si="27"/>
        <v>0</v>
      </c>
      <c r="F32" s="16">
        <f t="shared" si="27"/>
        <v>0</v>
      </c>
      <c r="G32" s="16">
        <f t="shared" si="27"/>
        <v>0</v>
      </c>
      <c r="H32" s="16">
        <f>H8+H9</f>
        <v>1929110.4126186322</v>
      </c>
      <c r="I32" s="15"/>
      <c r="J32" s="15"/>
      <c r="K32" s="15"/>
      <c r="N32" s="16">
        <f>N8+N9</f>
        <v>5141253.7297379067</v>
      </c>
      <c r="O32" s="16">
        <f t="shared" ref="O32:S32" si="28">O8+O9</f>
        <v>0</v>
      </c>
      <c r="P32" s="16">
        <f t="shared" si="28"/>
        <v>0</v>
      </c>
      <c r="Q32" s="16">
        <f t="shared" si="28"/>
        <v>0</v>
      </c>
      <c r="R32" s="16">
        <f t="shared" si="28"/>
        <v>0</v>
      </c>
      <c r="S32" s="16">
        <f t="shared" si="28"/>
        <v>0</v>
      </c>
      <c r="T32" s="16">
        <f>T8+T9</f>
        <v>5141253.7297379067</v>
      </c>
      <c r="U32" s="15"/>
      <c r="V32" s="15"/>
      <c r="X32" s="16">
        <f t="shared" ref="X32:AC32" si="29">X8+X9</f>
        <v>1073149.0111979509</v>
      </c>
      <c r="Y32" s="16">
        <f t="shared" si="29"/>
        <v>0</v>
      </c>
      <c r="Z32" s="16">
        <f t="shared" si="29"/>
        <v>0</v>
      </c>
      <c r="AA32" s="16">
        <f t="shared" si="29"/>
        <v>0</v>
      </c>
      <c r="AB32" s="16">
        <f t="shared" si="29"/>
        <v>0</v>
      </c>
      <c r="AC32" s="16">
        <f t="shared" si="29"/>
        <v>0</v>
      </c>
      <c r="AD32" s="16">
        <f>AD8+AD9</f>
        <v>1073149.0111979509</v>
      </c>
      <c r="AE32" s="15"/>
      <c r="AF32" s="15"/>
    </row>
    <row r="33" spans="1:32" s="1" customFormat="1">
      <c r="A33" s="26" t="s">
        <v>605</v>
      </c>
      <c r="B33" s="16">
        <f>(H32^2+H32*J18+J18^2)^(1/2)</f>
        <v>3083353.9312904449</v>
      </c>
      <c r="C33" s="16">
        <v>0</v>
      </c>
      <c r="D33" s="16">
        <v>0</v>
      </c>
      <c r="E33" s="16">
        <v>0</v>
      </c>
      <c r="F33" s="16">
        <v>0</v>
      </c>
      <c r="G33" s="16">
        <v>0</v>
      </c>
      <c r="H33" s="16">
        <f>SUM(B33:G33)</f>
        <v>3083353.9312904449</v>
      </c>
      <c r="I33" s="15"/>
      <c r="J33" s="15"/>
      <c r="K33" s="15"/>
      <c r="N33" s="16">
        <f>(T32^2+T32*V18+V18^2)^(1/2)</f>
        <v>6119161.3463088488</v>
      </c>
      <c r="O33" s="16">
        <v>0</v>
      </c>
      <c r="P33" s="16">
        <v>0</v>
      </c>
      <c r="Q33" s="16">
        <v>0</v>
      </c>
      <c r="R33" s="16">
        <v>0</v>
      </c>
      <c r="S33" s="16">
        <v>0</v>
      </c>
      <c r="T33" s="16">
        <f>SUM(N33:S33)</f>
        <v>6119161.3463088488</v>
      </c>
      <c r="U33" s="15"/>
      <c r="V33" s="15"/>
      <c r="X33" s="16">
        <f>(AD32^2+AD32*AF18+AF18^2)^(1/2)</f>
        <v>1507214.5359947297</v>
      </c>
      <c r="Y33" s="16">
        <v>0</v>
      </c>
      <c r="Z33" s="16">
        <v>0</v>
      </c>
      <c r="AA33" s="16">
        <v>0</v>
      </c>
      <c r="AB33" s="16">
        <v>0</v>
      </c>
      <c r="AC33" s="16">
        <v>0</v>
      </c>
      <c r="AD33" s="16">
        <f>SUM(X33:AC33)</f>
        <v>1507214.5359947297</v>
      </c>
      <c r="AE33" s="15"/>
      <c r="AF33" s="15"/>
    </row>
    <row r="34" spans="1:32" s="1" customFormat="1">
      <c r="A34" s="26" t="s">
        <v>606</v>
      </c>
      <c r="B34" s="16">
        <f>B32+B18</f>
        <v>4474110.4126186324</v>
      </c>
      <c r="C34" s="16"/>
      <c r="D34" s="16"/>
      <c r="E34" s="16"/>
      <c r="F34" s="16"/>
      <c r="G34" s="16"/>
      <c r="H34" s="16">
        <f t="shared" ref="H34:H35" si="30">SUM(B34:G34)</f>
        <v>4474110.4126186324</v>
      </c>
      <c r="I34" s="15"/>
      <c r="J34" s="15"/>
      <c r="K34" s="15"/>
      <c r="N34" s="16">
        <f>N32+N18</f>
        <v>7686253.7297379067</v>
      </c>
      <c r="O34" s="16"/>
      <c r="P34" s="16"/>
      <c r="Q34" s="16"/>
      <c r="R34" s="16"/>
      <c r="S34" s="16"/>
      <c r="T34" s="16">
        <f t="shared" ref="T34:T35" si="31">SUM(N34:S34)</f>
        <v>7686253.7297379067</v>
      </c>
      <c r="U34" s="15"/>
      <c r="V34" s="15"/>
      <c r="X34" s="16">
        <f>X32+X18</f>
        <v>2165649.0111979507</v>
      </c>
      <c r="Y34" s="16"/>
      <c r="Z34" s="16"/>
      <c r="AA34" s="16"/>
      <c r="AB34" s="16"/>
      <c r="AC34" s="16"/>
      <c r="AD34" s="16">
        <f t="shared" ref="AD34:AD35" si="32">SUM(X34:AC34)</f>
        <v>2165649.0111979507</v>
      </c>
      <c r="AE34" s="15"/>
      <c r="AF34" s="15"/>
    </row>
    <row r="35" spans="1:32" s="1" customFormat="1">
      <c r="A35" s="26" t="s">
        <v>607</v>
      </c>
      <c r="B35" s="16">
        <f>'2a.ii Inputs - Canada Factors'!$B$79*B34+'2a.ii Inputs - Canada Factors'!$B$80*I18+MAX('2a.ii Inputs - Canada Factors'!$B$81*B34-'2a.ii Inputs - Canada Factors'!$B$82*I18-'2a.ii Inputs - Canada Factors'!$B$83*B33+(2*B33^2/(2*B34-I18)),0)</f>
        <v>4059656.0281255459</v>
      </c>
      <c r="C35" s="16"/>
      <c r="D35" s="16"/>
      <c r="E35" s="16"/>
      <c r="F35" s="16"/>
      <c r="G35" s="16"/>
      <c r="H35" s="16">
        <f t="shared" si="30"/>
        <v>4059656.0281255459</v>
      </c>
      <c r="I35" s="15"/>
      <c r="J35" s="15"/>
      <c r="K35" s="15"/>
      <c r="N35" s="16">
        <f>'2a.ii Inputs - Canada Factors'!$B$79*N34+'2a.ii Inputs - Canada Factors'!$B$80*U18+MAX('2a.ii Inputs - Canada Factors'!$B$81*N34-'2a.ii Inputs - Canada Factors'!$B$82*U18-'2a.ii Inputs - Canada Factors'!$B$83*N33+(2*N33^2/(2*N34-U18)),0)</f>
        <v>7098799.3368485104</v>
      </c>
      <c r="O35" s="16"/>
      <c r="P35" s="16"/>
      <c r="Q35" s="16"/>
      <c r="R35" s="16"/>
      <c r="S35" s="16"/>
      <c r="T35" s="16">
        <f t="shared" si="31"/>
        <v>7098799.3368485104</v>
      </c>
      <c r="U35" s="15"/>
      <c r="V35" s="15"/>
      <c r="X35" s="16">
        <f>'2a.ii Inputs - Canada Factors'!$B$79*X34+'2a.ii Inputs - Canada Factors'!$B$80*AE18+MAX('2a.ii Inputs - Canada Factors'!$B$81*X34-'2a.ii Inputs - Canada Factors'!$B$82*AE18-'2a.ii Inputs - Canada Factors'!$B$83*X33+(2*X33^2/(2*X34-AE18)),0)</f>
        <v>1946056.2805758619</v>
      </c>
      <c r="Y35" s="16"/>
      <c r="Z35" s="16"/>
      <c r="AA35" s="16"/>
      <c r="AB35" s="16"/>
      <c r="AC35" s="16"/>
      <c r="AD35" s="16">
        <f t="shared" si="32"/>
        <v>1946056.2805758619</v>
      </c>
      <c r="AE35" s="15"/>
      <c r="AF35" s="15"/>
    </row>
    <row r="36" spans="1:32" s="1" customFormat="1">
      <c r="A36"/>
      <c r="B36" s="16"/>
      <c r="C36" s="16"/>
      <c r="D36" s="16"/>
      <c r="E36" s="16"/>
      <c r="F36" s="16"/>
      <c r="G36" s="16"/>
      <c r="H36" s="16"/>
      <c r="I36" s="15"/>
      <c r="J36" s="15"/>
      <c r="K36" s="15"/>
      <c r="N36" s="15"/>
      <c r="O36" s="15"/>
      <c r="P36" s="15"/>
      <c r="Q36" s="15"/>
      <c r="R36" s="15"/>
      <c r="S36" s="15"/>
      <c r="T36" s="15"/>
      <c r="U36" s="15"/>
      <c r="V36" s="15"/>
      <c r="X36" s="15"/>
      <c r="Y36" s="15"/>
      <c r="Z36" s="15"/>
      <c r="AA36" s="15"/>
      <c r="AB36" s="15"/>
      <c r="AC36" s="15"/>
      <c r="AD36" s="15"/>
      <c r="AE36" s="15"/>
      <c r="AF36" s="15"/>
    </row>
    <row r="37" spans="1:32">
      <c r="A37" s="1" t="s">
        <v>281</v>
      </c>
      <c r="B37" s="7"/>
      <c r="C37" s="7"/>
      <c r="D37" s="7"/>
      <c r="E37" s="7"/>
      <c r="F37" s="7"/>
      <c r="G37" s="7"/>
      <c r="H37" s="7"/>
      <c r="I37" s="7"/>
      <c r="J37" s="7"/>
      <c r="K37" s="7"/>
      <c r="N37" s="7"/>
      <c r="O37" s="7"/>
      <c r="P37" s="7"/>
      <c r="Q37" s="7"/>
      <c r="R37" s="7"/>
      <c r="S37" s="7"/>
      <c r="T37" s="7"/>
      <c r="U37" s="7"/>
      <c r="V37" s="7"/>
      <c r="X37" s="7"/>
      <c r="Y37" s="7"/>
      <c r="Z37" s="7"/>
      <c r="AA37" s="7"/>
      <c r="AB37" s="7"/>
      <c r="AC37" s="7"/>
      <c r="AD37" s="7"/>
      <c r="AE37" s="7"/>
      <c r="AF37" s="7"/>
    </row>
    <row r="38" spans="1:32">
      <c r="A38" t="s">
        <v>282</v>
      </c>
      <c r="B38" s="7"/>
      <c r="C38" s="7">
        <v>0</v>
      </c>
      <c r="D38" s="7">
        <v>0</v>
      </c>
      <c r="E38" s="7">
        <v>0</v>
      </c>
      <c r="F38" s="7">
        <v>0</v>
      </c>
      <c r="G38" s="7">
        <v>0</v>
      </c>
      <c r="H38" s="7">
        <f t="shared" si="1"/>
        <v>0</v>
      </c>
      <c r="I38" s="7"/>
      <c r="J38" s="7"/>
      <c r="K38" s="7"/>
      <c r="N38" s="7"/>
      <c r="O38" s="7">
        <v>0</v>
      </c>
      <c r="P38" s="7">
        <v>0</v>
      </c>
      <c r="Q38" s="7">
        <v>0</v>
      </c>
      <c r="R38" s="7">
        <v>0</v>
      </c>
      <c r="S38" s="7">
        <v>0</v>
      </c>
      <c r="T38" s="7">
        <f t="shared" ref="T38:T39" si="33">SUM(N38:S38)</f>
        <v>0</v>
      </c>
      <c r="U38" s="7"/>
      <c r="V38" s="7"/>
      <c r="X38" s="7"/>
      <c r="Y38" s="7">
        <v>0</v>
      </c>
      <c r="Z38" s="7">
        <v>0</v>
      </c>
      <c r="AA38" s="7">
        <v>0</v>
      </c>
      <c r="AB38" s="7">
        <v>0</v>
      </c>
      <c r="AC38" s="7">
        <v>0</v>
      </c>
      <c r="AD38" s="7">
        <f t="shared" ref="AD38:AD39" si="34">SUM(X38:AC38)</f>
        <v>0</v>
      </c>
      <c r="AE38" s="7"/>
      <c r="AF38" s="7"/>
    </row>
    <row r="39" spans="1:32">
      <c r="A39" t="s">
        <v>283</v>
      </c>
      <c r="B39" s="7">
        <v>0</v>
      </c>
      <c r="C39" s="7">
        <v>0</v>
      </c>
      <c r="D39" s="7">
        <v>0</v>
      </c>
      <c r="E39" s="7">
        <v>0</v>
      </c>
      <c r="F39" s="7">
        <v>0</v>
      </c>
      <c r="G39" s="7">
        <v>0</v>
      </c>
      <c r="H39" s="7">
        <v>0</v>
      </c>
      <c r="I39" s="7"/>
      <c r="J39" s="7"/>
      <c r="K39" s="7"/>
      <c r="N39" s="7"/>
      <c r="O39" s="7">
        <v>0</v>
      </c>
      <c r="P39" s="7">
        <v>0</v>
      </c>
      <c r="Q39" s="7">
        <v>0</v>
      </c>
      <c r="R39" s="7">
        <v>0</v>
      </c>
      <c r="S39" s="7">
        <v>0</v>
      </c>
      <c r="T39" s="7">
        <f t="shared" si="33"/>
        <v>0</v>
      </c>
      <c r="U39" s="7"/>
      <c r="V39" s="7"/>
      <c r="X39" s="7"/>
      <c r="Y39" s="7">
        <v>0</v>
      </c>
      <c r="Z39" s="7">
        <v>0</v>
      </c>
      <c r="AA39" s="7">
        <v>0</v>
      </c>
      <c r="AB39" s="7">
        <v>0</v>
      </c>
      <c r="AC39" s="7">
        <v>0</v>
      </c>
      <c r="AD39" s="7">
        <f t="shared" si="34"/>
        <v>0</v>
      </c>
      <c r="AE39" s="7"/>
      <c r="AF39" s="7"/>
    </row>
    <row r="40" spans="1:32" s="1" customFormat="1">
      <c r="A40" s="1" t="s">
        <v>284</v>
      </c>
      <c r="B40" s="15">
        <f>SUM(B38:B39)</f>
        <v>0</v>
      </c>
      <c r="C40" s="15">
        <f t="shared" ref="C40:H40" si="35">SUM(C38:C39)</f>
        <v>0</v>
      </c>
      <c r="D40" s="15">
        <f t="shared" si="35"/>
        <v>0</v>
      </c>
      <c r="E40" s="15">
        <f t="shared" si="35"/>
        <v>0</v>
      </c>
      <c r="F40" s="15">
        <f t="shared" si="35"/>
        <v>0</v>
      </c>
      <c r="G40" s="15">
        <f t="shared" si="35"/>
        <v>0</v>
      </c>
      <c r="H40" s="15">
        <f t="shared" si="35"/>
        <v>0</v>
      </c>
      <c r="I40" s="15"/>
      <c r="J40" s="15"/>
      <c r="K40" s="15"/>
      <c r="N40" s="15">
        <f>SUM(N38:N39)</f>
        <v>0</v>
      </c>
      <c r="O40" s="15">
        <f t="shared" ref="O40:T40" si="36">SUM(O38:O39)</f>
        <v>0</v>
      </c>
      <c r="P40" s="15">
        <f t="shared" si="36"/>
        <v>0</v>
      </c>
      <c r="Q40" s="15">
        <f t="shared" si="36"/>
        <v>0</v>
      </c>
      <c r="R40" s="15">
        <f t="shared" si="36"/>
        <v>0</v>
      </c>
      <c r="S40" s="15">
        <f t="shared" si="36"/>
        <v>0</v>
      </c>
      <c r="T40" s="15">
        <f t="shared" si="36"/>
        <v>0</v>
      </c>
      <c r="U40" s="15"/>
      <c r="V40" s="15"/>
      <c r="X40" s="15">
        <f>SUM(X38:X39)</f>
        <v>0</v>
      </c>
      <c r="Y40" s="15">
        <f t="shared" ref="Y40:AD40" si="37">SUM(Y38:Y39)</f>
        <v>0</v>
      </c>
      <c r="Z40" s="15">
        <f t="shared" si="37"/>
        <v>0</v>
      </c>
      <c r="AA40" s="15">
        <f t="shared" si="37"/>
        <v>0</v>
      </c>
      <c r="AB40" s="15">
        <f t="shared" si="37"/>
        <v>0</v>
      </c>
      <c r="AC40" s="15">
        <f t="shared" si="37"/>
        <v>0</v>
      </c>
      <c r="AD40" s="15">
        <f t="shared" si="37"/>
        <v>0</v>
      </c>
      <c r="AE40" s="15"/>
      <c r="AF40" s="15"/>
    </row>
    <row r="41" spans="1:32" s="1" customFormat="1">
      <c r="A41" s="1" t="s">
        <v>619</v>
      </c>
      <c r="B41" s="15">
        <f>B35-B40+B26+B27</f>
        <v>4316917.3768511172</v>
      </c>
      <c r="C41" s="15">
        <f t="shared" ref="C41:G41" si="38">C35-C40+C26+C27</f>
        <v>0</v>
      </c>
      <c r="D41" s="15">
        <f t="shared" si="38"/>
        <v>0</v>
      </c>
      <c r="E41" s="15">
        <f t="shared" si="38"/>
        <v>0</v>
      </c>
      <c r="F41" s="15">
        <f t="shared" si="38"/>
        <v>0</v>
      </c>
      <c r="G41" s="15">
        <f t="shared" si="38"/>
        <v>0</v>
      </c>
      <c r="H41" s="15">
        <f t="shared" si="1"/>
        <v>4316917.3768511172</v>
      </c>
      <c r="I41" s="15"/>
      <c r="J41" s="15"/>
      <c r="K41" s="15"/>
      <c r="N41" s="15">
        <f t="shared" ref="N41:S41" si="39">N35-N40+N26+N27</f>
        <v>7540758.92630844</v>
      </c>
      <c r="O41" s="15">
        <f t="shared" si="39"/>
        <v>0</v>
      </c>
      <c r="P41" s="15">
        <f t="shared" si="39"/>
        <v>0</v>
      </c>
      <c r="Q41" s="15">
        <f t="shared" si="39"/>
        <v>0</v>
      </c>
      <c r="R41" s="15">
        <f t="shared" si="39"/>
        <v>0</v>
      </c>
      <c r="S41" s="15">
        <f t="shared" si="39"/>
        <v>0</v>
      </c>
      <c r="T41" s="15">
        <f t="shared" ref="T41" si="40">SUM(N41:S41)</f>
        <v>7540758.92630844</v>
      </c>
      <c r="U41" s="15"/>
      <c r="V41" s="15"/>
      <c r="X41" s="15">
        <f t="shared" ref="X41:AC41" si="41">X35-X40+X26+X27</f>
        <v>2070581.098719744</v>
      </c>
      <c r="Y41" s="15">
        <f t="shared" si="41"/>
        <v>0</v>
      </c>
      <c r="Z41" s="15">
        <f t="shared" si="41"/>
        <v>0</v>
      </c>
      <c r="AA41" s="15">
        <f t="shared" si="41"/>
        <v>0</v>
      </c>
      <c r="AB41" s="15">
        <f t="shared" si="41"/>
        <v>0</v>
      </c>
      <c r="AC41" s="15">
        <f t="shared" si="41"/>
        <v>0</v>
      </c>
      <c r="AD41" s="15">
        <f t="shared" ref="AD41" si="42">SUM(X41:AC41)</f>
        <v>2070581.098719744</v>
      </c>
      <c r="AE41" s="15"/>
      <c r="AF41" s="15"/>
    </row>
    <row r="43" spans="1:32">
      <c r="A43" t="s">
        <v>620</v>
      </c>
      <c r="B43" s="7">
        <f>H41*'2a.ii Inputs - Canada Factors'!$B$7</f>
        <v>4316917.3768511172</v>
      </c>
      <c r="N43" s="7">
        <f>T41*'2a.ii Inputs - Canada Factors'!$B$7</f>
        <v>7540758.92630844</v>
      </c>
      <c r="X43" s="7">
        <f>AD41*'2a.ii Inputs - Canada Factors'!$B$7</f>
        <v>2070581.098719744</v>
      </c>
    </row>
    <row r="45" spans="1:32">
      <c r="A45" s="1" t="s">
        <v>285</v>
      </c>
    </row>
    <row r="46" spans="1:32" ht="60">
      <c r="A46" s="22" t="s">
        <v>286</v>
      </c>
      <c r="B46" s="8">
        <v>0</v>
      </c>
      <c r="C46" t="s">
        <v>287</v>
      </c>
      <c r="N46" s="8">
        <v>0</v>
      </c>
      <c r="X46" s="8">
        <v>0</v>
      </c>
    </row>
    <row r="47" spans="1:32" ht="75">
      <c r="A47" s="22" t="s">
        <v>288</v>
      </c>
      <c r="B47" s="8">
        <v>0</v>
      </c>
      <c r="C47" t="s">
        <v>289</v>
      </c>
      <c r="N47" s="8">
        <v>0</v>
      </c>
      <c r="X47" s="8">
        <v>0</v>
      </c>
    </row>
    <row r="48" spans="1:32" ht="45">
      <c r="A48" s="22" t="s">
        <v>290</v>
      </c>
      <c r="B48" s="8">
        <v>0</v>
      </c>
      <c r="C48" t="s">
        <v>291</v>
      </c>
      <c r="N48" s="8">
        <v>0</v>
      </c>
      <c r="X48" s="8">
        <v>0</v>
      </c>
    </row>
    <row r="49" spans="1:27">
      <c r="A49" s="22" t="s">
        <v>292</v>
      </c>
      <c r="B49" s="8">
        <f>B109</f>
        <v>-439933.67503375374</v>
      </c>
      <c r="D49" s="22"/>
      <c r="E49" s="7"/>
      <c r="N49" s="8">
        <f>N109</f>
        <v>-3663775.2244910765</v>
      </c>
      <c r="P49" s="22"/>
      <c r="Q49" s="7"/>
      <c r="X49" s="8">
        <f>X109</f>
        <v>1806402.6030976195</v>
      </c>
      <c r="Z49" s="22"/>
      <c r="AA49" s="7"/>
    </row>
    <row r="50" spans="1:27">
      <c r="A50" s="22" t="s">
        <v>293</v>
      </c>
      <c r="B50" s="8">
        <f>'2a.ii Inputs - Canada Factors'!$B$17</f>
        <v>120000</v>
      </c>
      <c r="C50" t="s">
        <v>294</v>
      </c>
      <c r="D50" s="22"/>
      <c r="E50" s="7"/>
      <c r="N50" s="8">
        <f>'2a.ii Inputs - Canada Factors'!$C$17</f>
        <v>180000</v>
      </c>
      <c r="P50" s="22"/>
      <c r="Q50" s="7"/>
      <c r="X50" s="8">
        <f>'2a.ii Inputs - Canada Factors'!$D$17</f>
        <v>90000</v>
      </c>
      <c r="Z50" s="22"/>
      <c r="AA50" s="7"/>
    </row>
    <row r="51" spans="1:27" ht="30">
      <c r="A51" s="22" t="s">
        <v>295</v>
      </c>
      <c r="B51" s="8">
        <v>0</v>
      </c>
      <c r="C51" t="s">
        <v>296</v>
      </c>
      <c r="D51" s="22"/>
      <c r="E51" s="7"/>
      <c r="N51" s="8">
        <v>0</v>
      </c>
      <c r="P51" s="22"/>
      <c r="Q51" s="7"/>
      <c r="X51" s="8">
        <v>0</v>
      </c>
      <c r="Z51" s="22"/>
      <c r="AA51" s="7"/>
    </row>
    <row r="52" spans="1:27">
      <c r="A52" s="22" t="s">
        <v>297</v>
      </c>
      <c r="B52" s="8">
        <v>0</v>
      </c>
      <c r="C52" t="s">
        <v>298</v>
      </c>
      <c r="N52" s="8">
        <v>0</v>
      </c>
      <c r="X52" s="8">
        <v>0</v>
      </c>
    </row>
    <row r="53" spans="1:27" ht="30">
      <c r="A53" s="22" t="s">
        <v>299</v>
      </c>
      <c r="B53" s="8">
        <v>0</v>
      </c>
      <c r="C53" t="s">
        <v>300</v>
      </c>
      <c r="N53" s="8">
        <v>0</v>
      </c>
      <c r="X53" s="8">
        <v>0</v>
      </c>
    </row>
    <row r="54" spans="1:27" ht="45">
      <c r="A54" s="22" t="s">
        <v>301</v>
      </c>
      <c r="B54" s="8">
        <v>0</v>
      </c>
      <c r="N54" s="8">
        <v>0</v>
      </c>
      <c r="X54" s="8">
        <v>0</v>
      </c>
    </row>
    <row r="55" spans="1:27" ht="75">
      <c r="A55" s="22" t="s">
        <v>302</v>
      </c>
      <c r="B55" s="8">
        <v>0</v>
      </c>
      <c r="N55" s="8">
        <v>0</v>
      </c>
      <c r="X55" s="8">
        <v>0</v>
      </c>
    </row>
    <row r="56" spans="1:27">
      <c r="A56" s="38" t="s">
        <v>303</v>
      </c>
      <c r="B56" s="15">
        <f>SUM(B46:B55)</f>
        <v>-319933.67503375374</v>
      </c>
      <c r="N56" s="15">
        <f>SUM(N46:N55)</f>
        <v>-3483775.2244910765</v>
      </c>
      <c r="X56" s="15">
        <f>SUM(X46:X55)</f>
        <v>1896402.6030976195</v>
      </c>
    </row>
    <row r="57" spans="1:27">
      <c r="B57" s="7"/>
      <c r="N57" s="7"/>
      <c r="X57" s="7"/>
    </row>
    <row r="58" spans="1:27">
      <c r="A58" s="1" t="s">
        <v>304</v>
      </c>
      <c r="C58" t="s">
        <v>305</v>
      </c>
    </row>
    <row r="59" spans="1:27" ht="30">
      <c r="A59" s="22" t="s">
        <v>306</v>
      </c>
      <c r="B59" s="40">
        <v>0</v>
      </c>
      <c r="N59" s="40">
        <v>0</v>
      </c>
      <c r="X59" s="40">
        <v>0</v>
      </c>
    </row>
    <row r="60" spans="1:27">
      <c r="A60" s="22" t="s">
        <v>307</v>
      </c>
      <c r="B60" s="40">
        <v>0</v>
      </c>
      <c r="N60" s="40">
        <v>0</v>
      </c>
      <c r="X60" s="40">
        <v>0</v>
      </c>
    </row>
    <row r="61" spans="1:27" ht="30">
      <c r="A61" s="22" t="s">
        <v>308</v>
      </c>
      <c r="B61" s="40">
        <v>0</v>
      </c>
      <c r="N61" s="40">
        <v>0</v>
      </c>
      <c r="X61" s="40">
        <v>0</v>
      </c>
    </row>
    <row r="62" spans="1:27" ht="30">
      <c r="A62" s="22" t="s">
        <v>309</v>
      </c>
      <c r="B62" s="40">
        <v>0</v>
      </c>
      <c r="N62" s="40">
        <v>0</v>
      </c>
      <c r="X62" s="40">
        <v>0</v>
      </c>
    </row>
    <row r="63" spans="1:27">
      <c r="A63" s="22" t="s">
        <v>310</v>
      </c>
      <c r="B63" s="40">
        <v>0</v>
      </c>
      <c r="N63" s="40">
        <v>0</v>
      </c>
      <c r="X63" s="40">
        <v>0</v>
      </c>
    </row>
    <row r="64" spans="1:27">
      <c r="A64" s="22" t="s">
        <v>311</v>
      </c>
      <c r="B64" s="40">
        <v>0</v>
      </c>
      <c r="N64" s="40">
        <v>0</v>
      </c>
      <c r="X64" s="40">
        <v>0</v>
      </c>
    </row>
    <row r="65" spans="1:24" ht="45">
      <c r="A65" s="22" t="s">
        <v>312</v>
      </c>
      <c r="B65" s="40">
        <v>0</v>
      </c>
      <c r="N65" s="40">
        <v>0</v>
      </c>
      <c r="X65" s="40">
        <v>0</v>
      </c>
    </row>
    <row r="66" spans="1:24" ht="30">
      <c r="A66" s="22" t="s">
        <v>313</v>
      </c>
      <c r="B66" s="40">
        <v>0</v>
      </c>
      <c r="N66" s="40">
        <v>0</v>
      </c>
      <c r="X66" s="40">
        <v>0</v>
      </c>
    </row>
    <row r="67" spans="1:24" ht="45">
      <c r="A67" s="22" t="s">
        <v>314</v>
      </c>
      <c r="B67" s="40">
        <v>0</v>
      </c>
      <c r="N67" s="40">
        <v>0</v>
      </c>
      <c r="X67" s="40">
        <v>0</v>
      </c>
    </row>
    <row r="68" spans="1:24">
      <c r="A68" s="22" t="s">
        <v>315</v>
      </c>
      <c r="B68" s="40">
        <v>0</v>
      </c>
      <c r="N68" s="40">
        <v>0</v>
      </c>
      <c r="X68" s="40">
        <v>0</v>
      </c>
    </row>
    <row r="69" spans="1:24" ht="30">
      <c r="A69" s="22" t="s">
        <v>316</v>
      </c>
      <c r="B69" s="40">
        <v>0</v>
      </c>
      <c r="N69" s="40">
        <v>0</v>
      </c>
      <c r="X69" s="40">
        <v>0</v>
      </c>
    </row>
    <row r="70" spans="1:24" ht="30">
      <c r="A70" s="22" t="s">
        <v>317</v>
      </c>
      <c r="B70" s="40">
        <v>0</v>
      </c>
      <c r="N70" s="40">
        <v>0</v>
      </c>
      <c r="X70" s="40">
        <v>0</v>
      </c>
    </row>
    <row r="71" spans="1:24">
      <c r="A71" s="1" t="s">
        <v>34</v>
      </c>
      <c r="B71" s="41">
        <f>SUM(B59:B70)</f>
        <v>0</v>
      </c>
      <c r="N71" s="41">
        <f>SUM(N59:N70)</f>
        <v>0</v>
      </c>
      <c r="X71" s="41">
        <f>SUM(X59:X70)</f>
        <v>0</v>
      </c>
    </row>
    <row r="72" spans="1:24">
      <c r="A72" s="1"/>
      <c r="B72" s="1"/>
      <c r="N72" s="1"/>
      <c r="X72" s="1"/>
    </row>
    <row r="73" spans="1:24">
      <c r="A73" s="1" t="s">
        <v>318</v>
      </c>
      <c r="B73" s="15">
        <f>B56-B71</f>
        <v>-319933.67503375374</v>
      </c>
      <c r="N73" s="15">
        <f>N56-N71</f>
        <v>-3483775.2244910765</v>
      </c>
      <c r="X73" s="15">
        <f>X56-X71</f>
        <v>1896402.6030976195</v>
      </c>
    </row>
    <row r="74" spans="1:24">
      <c r="B74" s="7"/>
      <c r="N74" s="7"/>
      <c r="X74" s="7"/>
    </row>
    <row r="75" spans="1:24">
      <c r="A75" s="1" t="s">
        <v>319</v>
      </c>
      <c r="B75" s="7"/>
      <c r="C75" t="s">
        <v>320</v>
      </c>
      <c r="N75" s="7"/>
      <c r="X75" s="7"/>
    </row>
    <row r="76" spans="1:24" ht="60">
      <c r="A76" s="27" t="s">
        <v>321</v>
      </c>
      <c r="B76" s="7">
        <v>0</v>
      </c>
      <c r="N76" s="7">
        <v>0</v>
      </c>
      <c r="X76" s="7">
        <v>0</v>
      </c>
    </row>
    <row r="77" spans="1:24" ht="45">
      <c r="A77" s="27" t="s">
        <v>322</v>
      </c>
      <c r="B77" s="7">
        <v>0</v>
      </c>
      <c r="N77" s="7">
        <v>0</v>
      </c>
      <c r="X77" s="7">
        <v>0</v>
      </c>
    </row>
    <row r="78" spans="1:24" ht="30">
      <c r="A78" s="27" t="s">
        <v>323</v>
      </c>
      <c r="B78" s="7">
        <v>0</v>
      </c>
      <c r="N78" s="7">
        <v>0</v>
      </c>
      <c r="X78" s="7">
        <v>0</v>
      </c>
    </row>
    <row r="79" spans="1:24">
      <c r="A79" s="1" t="s">
        <v>324</v>
      </c>
      <c r="B79" s="17">
        <f>SUM(B76:B78)</f>
        <v>0</v>
      </c>
      <c r="N79" s="17">
        <f>SUM(N76:N78)</f>
        <v>0</v>
      </c>
      <c r="X79" s="17">
        <f>SUM(X76:X78)</f>
        <v>0</v>
      </c>
    </row>
    <row r="81" spans="1:24">
      <c r="A81" t="s">
        <v>325</v>
      </c>
      <c r="B81" s="7">
        <f>MAX(B73+B79,'2a.ii Inputs - Canada Factors'!$B$8)</f>
        <v>5000000</v>
      </c>
      <c r="C81" t="s">
        <v>326</v>
      </c>
      <c r="N81" s="7">
        <f>MAX(N73+N79,'2a.ii Inputs - Canada Factors'!$B$8)</f>
        <v>5000000</v>
      </c>
      <c r="X81" s="7">
        <f>MAX(X73+X79,'2a.ii Inputs - Canada Factors'!$B$8)</f>
        <v>5000000</v>
      </c>
    </row>
    <row r="82" spans="1:24">
      <c r="A82" t="s">
        <v>618</v>
      </c>
      <c r="B82" s="7">
        <f>'2a.ii Inputs - Canada Factors'!$B$18</f>
        <v>1000000</v>
      </c>
      <c r="N82" s="7">
        <f>'2a.ii Inputs - Canada Factors'!$C$18</f>
        <v>1200000</v>
      </c>
      <c r="X82" s="7">
        <f>'2a.ii Inputs - Canada Factors'!$D$18</f>
        <v>1200000</v>
      </c>
    </row>
    <row r="83" spans="1:24">
      <c r="A83" t="s">
        <v>327</v>
      </c>
      <c r="B83" s="7">
        <v>0</v>
      </c>
      <c r="C83" t="s">
        <v>289</v>
      </c>
      <c r="N83" s="7">
        <v>0</v>
      </c>
      <c r="X83" s="7">
        <v>0</v>
      </c>
    </row>
    <row r="85" spans="1:24">
      <c r="A85" t="s">
        <v>328</v>
      </c>
      <c r="B85" s="9">
        <f>IFERROR((B81+B82+B83)/B43,0)</f>
        <v>1.3898806662768632</v>
      </c>
      <c r="C85" t="s">
        <v>329</v>
      </c>
      <c r="D85" s="2"/>
      <c r="N85" s="9">
        <f>IFERROR((N81+N82+N83)/N43,0)</f>
        <v>0.82219841007902306</v>
      </c>
      <c r="X85" s="9">
        <f>IFERROR((X81+X82+X83)/X43,0)</f>
        <v>2.994328502193663</v>
      </c>
    </row>
    <row r="87" spans="1:24">
      <c r="A87" t="s">
        <v>330</v>
      </c>
      <c r="B87" s="9">
        <f>IFERROR((B81+'2a.ii Inputs - Canada Factors'!$B$6*(B82+B83))/B43,0)</f>
        <v>1.3203866329630203</v>
      </c>
      <c r="C87" t="s">
        <v>331</v>
      </c>
      <c r="D87" s="2"/>
      <c r="N87" s="9">
        <f>IFERROR((N81+'2a.ii Inputs - Canada Factors'!$B$6*(N82+N83))/N43,0)</f>
        <v>0.77445785723572491</v>
      </c>
      <c r="X87" s="9">
        <f>IFERROR((X81+'2a.ii Inputs - Canada Factors'!$B$6*(X82+X83))/X43,0)</f>
        <v>2.8204642665824178</v>
      </c>
    </row>
    <row r="89" spans="1:24">
      <c r="A89" s="18" t="s">
        <v>211</v>
      </c>
    </row>
    <row r="91" spans="1:24">
      <c r="A91" s="18" t="s">
        <v>18</v>
      </c>
    </row>
    <row r="92" spans="1:24">
      <c r="A92" t="str">
        <f>'2b. Inputs - Assets'!A16</f>
        <v>Fixed Income 1</v>
      </c>
      <c r="B92" s="7">
        <f>'2b. Inputs - Assets'!B16</f>
        <v>7000000</v>
      </c>
      <c r="N92" s="7">
        <f>'2b. Inputs - Assets'!H16</f>
        <v>1820000</v>
      </c>
      <c r="X92" s="7">
        <f>'2b. Inputs - Assets'!B16</f>
        <v>7000000</v>
      </c>
    </row>
    <row r="93" spans="1:24">
      <c r="A93" t="str">
        <f>'2b. Inputs - Assets'!A17</f>
        <v>Fixed Income 2</v>
      </c>
      <c r="B93" s="7">
        <f>'2b. Inputs - Assets'!B17</f>
        <v>7000000</v>
      </c>
      <c r="N93" s="7">
        <f>'2b. Inputs - Assets'!H17</f>
        <v>1820000</v>
      </c>
      <c r="X93" s="7">
        <f>'2b. Inputs - Assets'!B17</f>
        <v>7000000</v>
      </c>
    </row>
    <row r="94" spans="1:24">
      <c r="A94" t="str">
        <f>'2b. Inputs - Assets'!A18</f>
        <v>Mortgages</v>
      </c>
      <c r="B94" s="7">
        <f>'2b. Inputs - Assets'!B18</f>
        <v>2500000</v>
      </c>
      <c r="N94" s="7">
        <f>'2b. Inputs - Assets'!H18</f>
        <v>3640000</v>
      </c>
      <c r="X94" s="7">
        <f>'2b. Inputs - Assets'!B18</f>
        <v>2500000</v>
      </c>
    </row>
    <row r="95" spans="1:24">
      <c r="A95" t="str">
        <f>'2b. Inputs - Assets'!A19</f>
        <v>Real Estate</v>
      </c>
      <c r="B95" s="7">
        <f>'2b. Inputs - Assets'!B19</f>
        <v>1000000</v>
      </c>
      <c r="N95" s="7">
        <f>'2b. Inputs - Assets'!H19</f>
        <v>3640000</v>
      </c>
      <c r="X95" s="7">
        <f>'2b. Inputs - Assets'!B19</f>
        <v>1000000</v>
      </c>
    </row>
    <row r="96" spans="1:24">
      <c r="A96" t="str">
        <f>'2b. Inputs - Assets'!A20</f>
        <v>Equity (Stocks in OECD or EEA countries)</v>
      </c>
      <c r="B96" s="7">
        <f>'2b. Inputs - Assets'!B20</f>
        <v>500000</v>
      </c>
      <c r="N96" s="7">
        <f>'2b. Inputs - Assets'!H20</f>
        <v>3640000</v>
      </c>
      <c r="X96" s="7">
        <f>'2b. Inputs - Assets'!B20</f>
        <v>500000</v>
      </c>
    </row>
    <row r="97" spans="1:24">
      <c r="A97" t="str">
        <f>'2b. Inputs - Assets'!A21</f>
        <v>Equity (Stocks in emerging markets)</v>
      </c>
      <c r="B97" s="7">
        <f>'2b. Inputs - Assets'!B21</f>
        <v>200000</v>
      </c>
      <c r="N97" s="7">
        <f>'2b. Inputs - Assets'!H21</f>
        <v>3640000</v>
      </c>
      <c r="X97" s="7">
        <f>'2b. Inputs - Assets'!B21</f>
        <v>200000</v>
      </c>
    </row>
    <row r="98" spans="1:24">
      <c r="A98" s="1" t="s">
        <v>213</v>
      </c>
      <c r="B98" s="17">
        <f>SUM(B92:B97)</f>
        <v>18200000</v>
      </c>
      <c r="N98" s="17">
        <f>SUM(N92:N97)</f>
        <v>18200000</v>
      </c>
      <c r="X98" s="17">
        <f>SUM(X92:X97)</f>
        <v>18200000</v>
      </c>
    </row>
    <row r="100" spans="1:24">
      <c r="A100" s="18" t="s">
        <v>26</v>
      </c>
    </row>
    <row r="101" spans="1:24">
      <c r="A101" t="s">
        <v>241</v>
      </c>
      <c r="B101" s="16">
        <f>'2c. Inputs - Liabilities'!H21</f>
        <v>14243016.298182636</v>
      </c>
      <c r="N101" s="16">
        <f>B101</f>
        <v>14243016.298182636</v>
      </c>
      <c r="X101" s="16">
        <f>'2c. Inputs - Liabilities'!H32</f>
        <v>14243016.298182636</v>
      </c>
    </row>
    <row r="102" spans="1:24">
      <c r="A102" t="s">
        <v>44</v>
      </c>
      <c r="B102" s="16">
        <f>'2c. Inputs - Liabilities'!I21</f>
        <v>0</v>
      </c>
      <c r="N102" s="16">
        <f t="shared" ref="N102:N104" si="43">B102</f>
        <v>0</v>
      </c>
      <c r="X102" s="16">
        <f t="shared" ref="X102" si="44">M102</f>
        <v>0</v>
      </c>
    </row>
    <row r="103" spans="1:24">
      <c r="A103" t="s">
        <v>186</v>
      </c>
      <c r="B103" s="16">
        <f>'2c. Inputs - Liabilities'!B23</f>
        <v>50000</v>
      </c>
      <c r="N103" s="16">
        <f t="shared" si="43"/>
        <v>50000</v>
      </c>
      <c r="X103" s="16">
        <f>B103</f>
        <v>50000</v>
      </c>
    </row>
    <row r="104" spans="1:24">
      <c r="A104" t="s">
        <v>242</v>
      </c>
      <c r="B104" s="16">
        <f>'2c. Inputs - Liabilities'!B24</f>
        <v>30000</v>
      </c>
      <c r="N104" s="16">
        <f t="shared" si="43"/>
        <v>30000</v>
      </c>
      <c r="X104" s="16">
        <f>B104</f>
        <v>30000</v>
      </c>
    </row>
    <row r="105" spans="1:24">
      <c r="A105" s="1" t="s">
        <v>243</v>
      </c>
      <c r="B105" s="15">
        <f>SUM(B101:B104)</f>
        <v>14323016.298182636</v>
      </c>
      <c r="N105" s="15">
        <f>SUM(N101:N104)</f>
        <v>14323016.298182636</v>
      </c>
      <c r="X105" s="15">
        <f>SUM(X101:X104)</f>
        <v>14323016.298182636</v>
      </c>
    </row>
    <row r="107" spans="1:24">
      <c r="A107" s="18" t="s">
        <v>244</v>
      </c>
    </row>
    <row r="108" spans="1:24">
      <c r="A108" t="s">
        <v>245</v>
      </c>
      <c r="B108" s="8">
        <f>B43</f>
        <v>4316917.3768511172</v>
      </c>
      <c r="N108" s="8">
        <f>N43</f>
        <v>7540758.92630844</v>
      </c>
      <c r="X108" s="8">
        <f>X43</f>
        <v>2070581.098719744</v>
      </c>
    </row>
    <row r="109" spans="1:24">
      <c r="A109" t="s">
        <v>246</v>
      </c>
      <c r="B109" s="8">
        <f>B110-B108</f>
        <v>-439933.67503375374</v>
      </c>
      <c r="N109" s="8">
        <f>N110-N108</f>
        <v>-3663775.2244910765</v>
      </c>
      <c r="X109" s="8">
        <f>X110-X108</f>
        <v>1806402.6030976195</v>
      </c>
    </row>
    <row r="110" spans="1:24">
      <c r="A110" s="1" t="s">
        <v>247</v>
      </c>
      <c r="B110" s="17">
        <f>B98-B105</f>
        <v>3876983.7018173635</v>
      </c>
      <c r="N110" s="17">
        <f>N98-N105</f>
        <v>3876983.7018173635</v>
      </c>
      <c r="X110" s="17">
        <f>X98-X105</f>
        <v>3876983.7018173635</v>
      </c>
    </row>
  </sheetData>
  <mergeCells count="6">
    <mergeCell ref="AF6:AF7"/>
    <mergeCell ref="J6:J7"/>
    <mergeCell ref="I6:I7"/>
    <mergeCell ref="U6:U7"/>
    <mergeCell ref="V6:V7"/>
    <mergeCell ref="AE6:AE7"/>
  </mergeCells>
  <pageMargins left="0.7" right="0.7" top="0.75" bottom="0.75" header="0.3" footer="0.3"/>
  <pageSetup orientation="portrait"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D7B7A-CF00-496D-B53E-B8F37DADDF16}">
  <sheetPr codeName="Sheet7">
    <tabColor rgb="FF002060"/>
  </sheetPr>
  <dimension ref="A1:P46"/>
  <sheetViews>
    <sheetView showGridLines="0" workbookViewId="0"/>
  </sheetViews>
  <sheetFormatPr defaultRowHeight="15"/>
  <cols>
    <col min="1" max="1" width="44.42578125" bestFit="1" customWidth="1"/>
    <col min="2" max="2" width="12.5703125" bestFit="1" customWidth="1"/>
    <col min="3" max="3" width="2.85546875" customWidth="1"/>
    <col min="4" max="4" width="11.85546875" bestFit="1" customWidth="1"/>
    <col min="5" max="5" width="2.85546875" customWidth="1"/>
    <col min="6" max="6" width="18" bestFit="1" customWidth="1"/>
    <col min="7" max="7" width="8.5703125" bestFit="1" customWidth="1"/>
    <col min="8" max="8" width="11.85546875" customWidth="1"/>
    <col min="9" max="9" width="12.42578125" customWidth="1"/>
    <col min="10" max="10" width="9.42578125" customWidth="1"/>
    <col min="11" max="11" width="8" bestFit="1" customWidth="1"/>
    <col min="12" max="12" width="19.140625" customWidth="1"/>
    <col min="13" max="13" width="16.85546875" customWidth="1"/>
    <col min="14" max="14" width="20.140625" bestFit="1" customWidth="1"/>
    <col min="15" max="15" width="10.140625" bestFit="1" customWidth="1"/>
    <col min="16" max="16" width="10.140625" customWidth="1"/>
    <col min="17" max="18" width="19.140625" customWidth="1"/>
    <col min="19" max="19" width="20.85546875" customWidth="1"/>
    <col min="20" max="20" width="10.85546875" customWidth="1"/>
    <col min="21" max="22" width="11.5703125" customWidth="1"/>
  </cols>
  <sheetData>
    <row r="1" spans="1:16">
      <c r="A1" s="3" t="s">
        <v>448</v>
      </c>
      <c r="B1" s="4"/>
      <c r="D1" s="4"/>
      <c r="E1" s="30"/>
      <c r="F1" s="4"/>
      <c r="G1" s="4"/>
      <c r="H1" s="4"/>
      <c r="I1" s="4"/>
      <c r="J1" s="4"/>
      <c r="K1" s="4"/>
      <c r="L1" s="4"/>
      <c r="M1" s="4"/>
    </row>
    <row r="2" spans="1:16">
      <c r="A2" s="1" t="s">
        <v>512</v>
      </c>
    </row>
    <row r="3" spans="1:16" ht="15.75" thickBot="1">
      <c r="A3" s="5" t="s">
        <v>192</v>
      </c>
      <c r="B3" s="6"/>
      <c r="C3" s="6"/>
      <c r="D3" s="6"/>
      <c r="E3" s="6"/>
      <c r="F3" s="6"/>
      <c r="G3" s="6"/>
      <c r="H3" s="6"/>
      <c r="I3" s="6"/>
      <c r="J3" s="6"/>
      <c r="K3" s="6"/>
      <c r="L3" s="6"/>
      <c r="M3" s="6"/>
      <c r="N3" s="359"/>
      <c r="O3" s="359"/>
      <c r="P3" s="20"/>
    </row>
    <row r="4" spans="1:16">
      <c r="A4" s="1"/>
      <c r="N4" s="20"/>
      <c r="O4" s="20"/>
      <c r="P4" s="20"/>
    </row>
    <row r="5" spans="1:16">
      <c r="B5" s="36" t="s">
        <v>86</v>
      </c>
      <c r="D5" s="36" t="s">
        <v>193</v>
      </c>
      <c r="F5" s="36" t="s">
        <v>88</v>
      </c>
      <c r="L5" s="20"/>
      <c r="M5" s="20"/>
      <c r="N5" s="20"/>
      <c r="O5" s="20"/>
      <c r="P5" s="20"/>
    </row>
    <row r="6" spans="1:16">
      <c r="A6" s="1" t="s">
        <v>194</v>
      </c>
      <c r="B6" s="32">
        <f>(B8^2 + B17^2 +0.5*B8*B17)^0.5</f>
        <v>2942183.6393018835</v>
      </c>
      <c r="C6" s="32"/>
      <c r="D6" s="32">
        <f>(D8^2 + D17^2 +0.5*D8*D17)^0.5</f>
        <v>6419333.0540909683</v>
      </c>
      <c r="E6" s="32"/>
      <c r="F6" s="32">
        <f>(F8^2 + F17^2 +0.5*F8*F17)^0.5</f>
        <v>1608030.8309571722</v>
      </c>
    </row>
    <row r="7" spans="1:16">
      <c r="B7" s="31"/>
    </row>
    <row r="8" spans="1:16">
      <c r="A8" s="1" t="s">
        <v>195</v>
      </c>
      <c r="B8" s="65">
        <f>(B10^2+B9^2+B11^2+B12^2+B13^2+B14^2+2*('2a.iii Inputs - Europe Factors'!$D$41*(B10*B9+B9*B11+B9*B12)+'2a.iii Inputs - Europe Factors'!$D$44*(B10*B11+B10*B12)+'2a.iii Inputs - Europe Factors'!$E$45*(B11*B12)+'2a.iii Inputs - Europe Factors'!$B$48*B14*(B12+B11+B10+B9)))^0.5</f>
        <v>1773896.7462449507</v>
      </c>
      <c r="C8" s="65"/>
      <c r="D8" s="65">
        <f>(D10^2+D9^2+D11^2+D12^2+D13^2+D14^2+2*('2a.iii Inputs - Europe Factors'!$D$41*(D10*D9+D9*D11+D9*D12)+'2a.iii Inputs - Europe Factors'!$D$44*(D10*D11+D10*D12)+'2a.iii Inputs - Europe Factors'!$E$45*(D11*D12)+'2a.iii Inputs - Europe Factors'!$B$48*D14*(D12+D11+D10+D9)))^0.5</f>
        <v>5650443.6002784269</v>
      </c>
      <c r="E8" s="65"/>
      <c r="F8" s="65">
        <f>(F10^2+F9^2+F11^2+F12^2+F13^2+F14^2+2*('2a.iii Inputs - Europe Factors'!$D$41*(F10*F9+F9*F11+F9*F12)+'2a.iii Inputs - Europe Factors'!$D$44*(F10*F11+F10*F12)+'2a.iii Inputs - Europe Factors'!$E$45*(F11*F12)+'2a.iii Inputs - Europe Factors'!$B$48*F14*(F12+F11+F10+F9)))^0.5</f>
        <v>974973.73210086045</v>
      </c>
    </row>
    <row r="9" spans="1:16">
      <c r="A9" t="s">
        <v>196</v>
      </c>
      <c r="B9" s="65">
        <f>MAX(0,'2b. Inputs - Assets'!E34+'2a.iii Inputs - Europe Factors'!M45,'2b. Inputs - Assets'!E37+'2a.iii Inputs - Europe Factors'!K45)</f>
        <v>1410360.4126186322</v>
      </c>
      <c r="C9" s="65"/>
      <c r="D9" s="65">
        <f>MAX(0,'2b. Inputs - Assets'!I34+'2a.iii Inputs - Europe Factors'!M45,'2b. Inputs - Assets'!I37+'2a.iii Inputs - Europe Factors'!K45)</f>
        <v>2110953.7297379067</v>
      </c>
      <c r="E9" s="65"/>
      <c r="F9" s="65">
        <f>MAX(0,'2b. Inputs - Assets'!E34+'2a.iii Inputs - Europe Factors'!M55,'2b. Inputs - Assets'!E37+'2a.iii Inputs - Europe Factors'!K55)</f>
        <v>554399.01119795092</v>
      </c>
    </row>
    <row r="10" spans="1:16">
      <c r="A10" t="s">
        <v>197</v>
      </c>
      <c r="B10" s="65">
        <f>((B33*'2a.iii Inputs - Europe Factors'!$B$15)^2 + 2*'2a.iii Inputs - Europe Factors'!$B$17 *(B33*'2a.iii Inputs - Europe Factors'!$B$15)*(B34*'2a.iii Inputs - Europe Factors'!$B$16) +(B34*'2a.iii Inputs - Europe Factors'!$B$16)^2)^0.5</f>
        <v>325935.57645645249</v>
      </c>
      <c r="C10" s="65"/>
      <c r="D10" s="65">
        <f>((D33*0.465)^2 + 2*0.75 *(D33*0.465)*(D34*0.565) +(D34*0.565)^2)^0.5</f>
        <v>3509415.9143652376</v>
      </c>
      <c r="E10" s="65"/>
      <c r="F10" s="65">
        <f>((F33*0.465)^2 + 2*0.75 *(F33*0.465)*(F34*0.565) +(F34*0.565)^2)^0.5</f>
        <v>325935.57645645249</v>
      </c>
    </row>
    <row r="11" spans="1:16">
      <c r="A11" t="s">
        <v>198</v>
      </c>
      <c r="B11" s="65">
        <f>'2a.iii Inputs - Europe Factors'!$B$18*(B32)</f>
        <v>250000</v>
      </c>
      <c r="C11" s="65"/>
      <c r="D11" s="65">
        <f>'2a.iii Inputs - Europe Factors'!$B$18*(D32)</f>
        <v>910000</v>
      </c>
      <c r="E11" s="65"/>
      <c r="F11" s="65">
        <f>'2a.iii Inputs - Europe Factors'!$B$18*(F32)</f>
        <v>250000</v>
      </c>
    </row>
    <row r="12" spans="1:16">
      <c r="A12" t="s">
        <v>199</v>
      </c>
      <c r="B12" s="65">
        <f>'2a.iii Inputs - Europe Factors'!$B6</f>
        <v>25000</v>
      </c>
      <c r="C12" s="65"/>
      <c r="D12" s="65">
        <f>'2a.iii Inputs - Europe Factors'!$B6</f>
        <v>25000</v>
      </c>
      <c r="E12" s="65"/>
      <c r="F12" s="65">
        <f>'2a.iii Inputs - Europe Factors'!$B6</f>
        <v>25000</v>
      </c>
    </row>
    <row r="13" spans="1:16">
      <c r="A13" t="s">
        <v>200</v>
      </c>
      <c r="B13" s="65">
        <f>'2a.iii Inputs - Europe Factors'!$B7</f>
        <v>0</v>
      </c>
      <c r="C13" s="65"/>
      <c r="D13" s="65">
        <f>'2a.iii Inputs - Europe Factors'!$B7</f>
        <v>0</v>
      </c>
      <c r="E13" s="65"/>
      <c r="F13" s="65">
        <f>'2a.iii Inputs - Europe Factors'!$B7</f>
        <v>0</v>
      </c>
    </row>
    <row r="14" spans="1:16">
      <c r="A14" t="s">
        <v>201</v>
      </c>
      <c r="B14" s="65">
        <f>'2a.iii Inputs - Europe Factors'!$B8</f>
        <v>0</v>
      </c>
      <c r="C14" s="65"/>
      <c r="D14" s="65">
        <f>'2a.iii Inputs - Europe Factors'!$B8</f>
        <v>0</v>
      </c>
      <c r="E14" s="65"/>
      <c r="F14" s="65">
        <f>'2a.iii Inputs - Europe Factors'!$B8</f>
        <v>0</v>
      </c>
    </row>
    <row r="15" spans="1:16">
      <c r="A15" t="s">
        <v>202</v>
      </c>
      <c r="B15" s="12" t="str">
        <f xml:space="preserve"> IF(VLOOKUP('2b. Inputs - Assets'!D16,'2a.iii Inputs - Europe Factors'!B23:D37,2) &gt;VLOOKUP('2b. Inputs - Assets'!D16,'2a.iii Inputs - Europe Factors'!B23:D37,3), "Up", "Down")</f>
        <v>Up</v>
      </c>
      <c r="C15" s="12"/>
      <c r="D15" s="12" t="str">
        <f>IF(VLOOKUP('2b. Inputs - Assets'!I16,'2a.iii Inputs - Europe Factors'!B23:D37,2) &gt;VLOOKUP('2b. Inputs - Assets'!I16,'2a.iii Inputs - Europe Factors'!B23:D37,3), "Up", "Down")</f>
        <v>Down</v>
      </c>
      <c r="E15" s="12"/>
      <c r="F15" s="12" t="str">
        <f>IF(VLOOKUP('2b. Inputs - Assets'!D16,'2a.iii Inputs - Europe Factors'!B23:D37,2) &gt;VLOOKUP('2b. Inputs - Assets'!D16,'2a.iii Inputs - Europe Factors'!B23:D37,3), "Up", "Down")</f>
        <v>Up</v>
      </c>
    </row>
    <row r="16" spans="1:16">
      <c r="B16" s="64"/>
      <c r="C16" s="31"/>
      <c r="D16" s="31"/>
      <c r="E16" s="31"/>
    </row>
    <row r="17" spans="1:6">
      <c r="A17" s="1" t="s">
        <v>203</v>
      </c>
      <c r="B17" s="32">
        <f>(B18^2+B19^2+B20^2+B21^2+B22^2+B23^2+B24^2+2*(('2a.iii Inputs - Europe Factors'!$B$53*B18*B19)+'2a.iii Inputs - Europe Factors'!$B$54*(B20*B22+B21*B22+B22*B23)+'2a.iii Inputs - Europe Factors'!$B$54*(B18*B20+B18*B22+B18*B24+B19+B19*B22+B19*B23+B20*B24+B24*B21+B24*B22)))^0.5</f>
        <v>1945333.9378354049</v>
      </c>
      <c r="C17" s="32"/>
      <c r="D17" s="32">
        <f>(D18^2+D19^2+D20^2+D21^2+D22^2+D23^2+D24^2+2*(('2a.iii Inputs - Europe Factors'!$B$53*D18*D19)+'2a.iii Inputs - Europe Factors'!$B$54*(D20*D22+D21*D22+D22*D23)+'2a.iii Inputs - Europe Factors'!$B$54*(D18*D20+D18*D22+D18*D24+D19+D19*D22+D19*D23+D20*D24+D24*D21+D24*D22)))^0.5</f>
        <v>1945333.9378354049</v>
      </c>
      <c r="E17" s="32"/>
      <c r="F17" s="32">
        <f>(F18^2+F19^2+F20^2+F21^2+F22^2+F23^2+F24^2+2*(('2a.iii Inputs - Europe Factors'!$B$53*F18*F19)+'2a.iii Inputs - Europe Factors'!$B$54*(F20*F22+F21*F22+F22*F23)+'2a.iii Inputs - Europe Factors'!$B$54*(F18*F20+F18*F22+F18*F24+F19+F19*F22+F19*F23+F20*F24+F24*F21+F24*F22)))^0.5</f>
        <v>1058024.6861746104</v>
      </c>
    </row>
    <row r="18" spans="1:6">
      <c r="A18" t="s">
        <v>204</v>
      </c>
      <c r="B18" s="32">
        <f>'2a.iii Inputs - Europe Factors'!K47-'2c. Inputs - Liabilities'!L19</f>
        <v>1983499.1661041789</v>
      </c>
      <c r="C18" s="32"/>
      <c r="D18" s="32">
        <f>'2a.iii Inputs - Europe Factors'!K47-'2c. Inputs - Liabilities'!L19</f>
        <v>1983499.1661041789</v>
      </c>
      <c r="E18" s="32"/>
      <c r="F18" s="32">
        <f>'2a.iii Inputs - Europe Factors'!K57-'2c. Inputs - Liabilities'!L30</f>
        <v>992236.10085953726</v>
      </c>
    </row>
    <row r="19" spans="1:6">
      <c r="A19" t="s">
        <v>205</v>
      </c>
      <c r="B19" s="32">
        <f>'2a.iii Inputs - Europe Factors'!L48-'2c. Inputs - Liabilities'!L20</f>
        <v>410736.39456120413</v>
      </c>
      <c r="C19" s="32"/>
      <c r="D19" s="32">
        <f>'2a.iii Inputs - Europe Factors'!L48-'2c. Inputs - Liabilities'!L20</f>
        <v>410736.39456120413</v>
      </c>
      <c r="E19" s="32"/>
      <c r="F19" s="32">
        <f>'2a.iii Inputs - Europe Factors'!L58-'2c. Inputs - Liabilities'!L31</f>
        <v>615802.6486307364</v>
      </c>
    </row>
    <row r="20" spans="1:6">
      <c r="A20" t="s">
        <v>206</v>
      </c>
      <c r="B20" s="32">
        <f>'2a.iii Inputs - Europe Factors'!$B9</f>
        <v>0</v>
      </c>
      <c r="C20" s="32"/>
      <c r="D20" s="32">
        <f>'2a.iii Inputs - Europe Factors'!$B9</f>
        <v>0</v>
      </c>
      <c r="E20" s="32"/>
      <c r="F20" s="32">
        <f>'2a.iii Inputs - Europe Factors'!$B9</f>
        <v>0</v>
      </c>
    </row>
    <row r="21" spans="1:6">
      <c r="A21" t="s">
        <v>207</v>
      </c>
      <c r="B21" s="32">
        <f>'2a.iii Inputs - Europe Factors'!$B10</f>
        <v>0</v>
      </c>
      <c r="C21" s="32"/>
      <c r="D21" s="32">
        <f>'2a.iii Inputs - Europe Factors'!$B10</f>
        <v>0</v>
      </c>
      <c r="E21" s="32"/>
      <c r="F21" s="32">
        <f>'2a.iii Inputs - Europe Factors'!$B10</f>
        <v>0</v>
      </c>
    </row>
    <row r="22" spans="1:6">
      <c r="A22" t="s">
        <v>208</v>
      </c>
      <c r="B22" s="32">
        <f>'2a.iii Inputs - Europe Factors'!$B11</f>
        <v>70000</v>
      </c>
      <c r="C22" s="32"/>
      <c r="D22" s="32">
        <f>'2a.iii Inputs - Europe Factors'!$B11</f>
        <v>70000</v>
      </c>
      <c r="E22" s="32"/>
      <c r="F22" s="32">
        <f>'2a.iii Inputs - Europe Factors'!$B11</f>
        <v>70000</v>
      </c>
    </row>
    <row r="23" spans="1:6">
      <c r="A23" t="s">
        <v>209</v>
      </c>
      <c r="B23" s="32">
        <f>'2a.iii Inputs - Europe Factors'!$B12</f>
        <v>0</v>
      </c>
      <c r="C23" s="32"/>
      <c r="D23" s="32">
        <f>'2a.iii Inputs - Europe Factors'!$B12</f>
        <v>0</v>
      </c>
      <c r="E23" s="32"/>
      <c r="F23" s="32">
        <f>'2a.iii Inputs - Europe Factors'!$B12</f>
        <v>0</v>
      </c>
    </row>
    <row r="24" spans="1:6">
      <c r="A24" t="s">
        <v>210</v>
      </c>
      <c r="B24" s="32">
        <f>'2a.iii Inputs - Europe Factors'!$B13</f>
        <v>0</v>
      </c>
      <c r="C24" s="32"/>
      <c r="D24" s="32">
        <f>'2a.iii Inputs - Europe Factors'!$B13</f>
        <v>0</v>
      </c>
      <c r="E24" s="32"/>
      <c r="F24" s="32">
        <f>'2a.iii Inputs - Europe Factors'!$B13</f>
        <v>0</v>
      </c>
    </row>
    <row r="26" spans="1:6">
      <c r="A26" s="18" t="s">
        <v>211</v>
      </c>
    </row>
    <row r="28" spans="1:6">
      <c r="A28" s="18" t="s">
        <v>18</v>
      </c>
    </row>
    <row r="29" spans="1:6">
      <c r="A29" t="s">
        <v>20</v>
      </c>
      <c r="B29" s="33">
        <f>SUM('2b. Inputs - Assets'!C16:C17)</f>
        <v>15050000</v>
      </c>
      <c r="C29" s="33"/>
      <c r="D29" s="33">
        <f>SUM('2b. Inputs - Assets'!I16:I17)</f>
        <v>3913000</v>
      </c>
      <c r="E29" s="33"/>
      <c r="F29" s="32">
        <f>B29</f>
        <v>15050000</v>
      </c>
    </row>
    <row r="30" spans="1:6">
      <c r="A30" t="s">
        <v>212</v>
      </c>
      <c r="B30" s="39">
        <f>SUMPRODUCT('2b. Inputs - Assets'!C16:C18,'2b. Inputs - Assets'!D16:D18)/SUM('2b. Inputs - Assets'!C16:C18)</f>
        <v>12.143874643874645</v>
      </c>
      <c r="C30" s="39"/>
      <c r="D30" s="39">
        <f>SUMPRODUCT('2b. Inputs - Assets'!I16:I18,'2b. Inputs - Assets'!J16:J18)/SUM('2b. Inputs - Assets'!I16:I18)</f>
        <v>11.295180722891565</v>
      </c>
      <c r="E30" s="39"/>
      <c r="F30" s="39">
        <f>SUMPRODUCT('2b. Inputs - Assets'!C16:C18,'2b. Inputs - Assets'!D16:D18)/SUM('2b. Inputs - Assets'!C16:C18)</f>
        <v>12.143874643874645</v>
      </c>
    </row>
    <row r="31" spans="1:6">
      <c r="A31" t="s">
        <v>22</v>
      </c>
      <c r="B31" s="33">
        <f>'2b. Inputs - Assets'!C18</f>
        <v>2500000</v>
      </c>
      <c r="C31" s="33"/>
      <c r="D31" s="33">
        <f>'2b. Inputs - Assets'!I18</f>
        <v>3640000</v>
      </c>
      <c r="E31" s="33"/>
      <c r="F31" s="32">
        <f t="shared" ref="F31:F35" si="0">B31</f>
        <v>2500000</v>
      </c>
    </row>
    <row r="32" spans="1:6">
      <c r="A32" t="s">
        <v>24</v>
      </c>
      <c r="B32" s="33">
        <f>'2b. Inputs - Assets'!C19</f>
        <v>1000000</v>
      </c>
      <c r="C32" s="33"/>
      <c r="D32" s="33">
        <f>'2b. Inputs - Assets'!I19</f>
        <v>3640000</v>
      </c>
      <c r="E32" s="33"/>
      <c r="F32" s="32">
        <f t="shared" si="0"/>
        <v>1000000</v>
      </c>
    </row>
    <row r="33" spans="1:6">
      <c r="A33" t="s">
        <v>169</v>
      </c>
      <c r="B33" s="33">
        <f>'2b. Inputs - Assets'!C20</f>
        <v>500000</v>
      </c>
      <c r="C33" s="33"/>
      <c r="D33" s="33">
        <f>'2b. Inputs - Assets'!I20</f>
        <v>3640000</v>
      </c>
      <c r="E33" s="33"/>
      <c r="F33" s="32">
        <f t="shared" si="0"/>
        <v>500000</v>
      </c>
    </row>
    <row r="34" spans="1:6">
      <c r="A34" t="s">
        <v>170</v>
      </c>
      <c r="B34" s="33">
        <f>'2b. Inputs - Assets'!C21</f>
        <v>200000</v>
      </c>
      <c r="C34" s="33"/>
      <c r="D34" s="33">
        <f>'2b. Inputs - Assets'!I21</f>
        <v>3640000</v>
      </c>
      <c r="E34" s="33"/>
      <c r="F34" s="32">
        <f t="shared" si="0"/>
        <v>200000</v>
      </c>
    </row>
    <row r="35" spans="1:6">
      <c r="A35" s="1" t="s">
        <v>213</v>
      </c>
      <c r="B35" s="33">
        <f>'2b. Inputs - Assets'!C22</f>
        <v>19250000</v>
      </c>
      <c r="C35" s="33"/>
      <c r="D35" s="33">
        <f>'2b. Inputs - Assets'!I22</f>
        <v>18473000</v>
      </c>
      <c r="E35" s="33"/>
      <c r="F35" s="32">
        <f t="shared" si="0"/>
        <v>19250000</v>
      </c>
    </row>
    <row r="36" spans="1:6">
      <c r="B36" s="31"/>
      <c r="C36" s="31"/>
      <c r="D36" s="31"/>
      <c r="E36" s="31"/>
    </row>
    <row r="37" spans="1:6">
      <c r="A37" s="18" t="s">
        <v>26</v>
      </c>
      <c r="B37" s="31"/>
      <c r="C37" s="31"/>
      <c r="D37" s="31"/>
      <c r="E37" s="31"/>
    </row>
    <row r="38" spans="1:6">
      <c r="A38" t="s">
        <v>31</v>
      </c>
      <c r="B38" s="33">
        <f>'2c. Inputs - Liabilities'!L19</f>
        <v>6189579.389724032</v>
      </c>
      <c r="C38" s="33"/>
      <c r="D38" s="33">
        <f>B38</f>
        <v>6189579.389724032</v>
      </c>
      <c r="E38" s="33"/>
      <c r="F38" s="69">
        <f>'2c. Inputs - Liabilities'!L30</f>
        <v>3096307.890909269</v>
      </c>
    </row>
    <row r="39" spans="1:6">
      <c r="A39" t="s">
        <v>33</v>
      </c>
      <c r="B39" s="33">
        <f>'2c. Inputs - Liabilities'!L20</f>
        <v>7500000</v>
      </c>
      <c r="C39" s="33"/>
      <c r="D39" s="33">
        <f>B39</f>
        <v>7500000</v>
      </c>
      <c r="E39" s="33"/>
      <c r="F39" s="69">
        <f>'2c. Inputs - Liabilities'!L31</f>
        <v>11244486.551196819</v>
      </c>
    </row>
    <row r="40" spans="1:6">
      <c r="A40" s="1" t="s">
        <v>214</v>
      </c>
      <c r="B40" s="34">
        <f>SUM(B38:B39)</f>
        <v>13689579.389724031</v>
      </c>
      <c r="C40" s="34"/>
      <c r="D40" s="34">
        <f>SUM(D38:D39)</f>
        <v>13689579.389724031</v>
      </c>
      <c r="E40" s="34"/>
      <c r="F40" s="34">
        <f>SUM(F38:F39)</f>
        <v>14340794.442106089</v>
      </c>
    </row>
    <row r="41" spans="1:6">
      <c r="A41" s="1"/>
      <c r="B41" s="34"/>
      <c r="C41" s="34"/>
      <c r="D41" s="34"/>
      <c r="E41" s="34"/>
      <c r="F41" s="34"/>
    </row>
    <row r="42" spans="1:6">
      <c r="A42" s="18" t="s">
        <v>244</v>
      </c>
      <c r="B42" s="31"/>
      <c r="C42" s="31"/>
      <c r="D42" s="31"/>
      <c r="E42" s="31"/>
    </row>
    <row r="43" spans="1:6">
      <c r="A43" t="s">
        <v>194</v>
      </c>
      <c r="B43" s="32">
        <f>(B8^2 + B17^2 +0.5 *B8*B17)^0.5</f>
        <v>2942183.6393018835</v>
      </c>
      <c r="C43" s="32"/>
      <c r="D43" s="32">
        <f>(D8^2 + D17^2 +0.5 *D8*D17)^0.5</f>
        <v>6419333.0540909683</v>
      </c>
      <c r="E43" s="32"/>
      <c r="F43" s="32">
        <f>(F8^2 + F17^2 +0.5 *F8*F17)^0.5</f>
        <v>1608030.8309571722</v>
      </c>
    </row>
    <row r="44" spans="1:6">
      <c r="A44" t="s">
        <v>325</v>
      </c>
      <c r="B44" s="32">
        <f>B45-B43</f>
        <v>2618236.9709740854</v>
      </c>
      <c r="D44" s="32">
        <f>D45-D43</f>
        <v>-1635912.4438149994</v>
      </c>
      <c r="F44" s="32">
        <f>F45-F43</f>
        <v>3301174.7269367389</v>
      </c>
    </row>
    <row r="45" spans="1:6">
      <c r="A45" s="1" t="s">
        <v>215</v>
      </c>
      <c r="B45" s="35">
        <f>B35-B40</f>
        <v>5560420.6102759689</v>
      </c>
      <c r="C45" s="35"/>
      <c r="D45" s="35">
        <f>D35-D40</f>
        <v>4783420.6102759689</v>
      </c>
      <c r="E45" s="35"/>
      <c r="F45" s="35">
        <f>F35-F40</f>
        <v>4909205.5578939114</v>
      </c>
    </row>
    <row r="46" spans="1:6">
      <c r="A46" t="s">
        <v>216</v>
      </c>
      <c r="B46" s="2">
        <f>B45/B43</f>
        <v>1.8898958365478968</v>
      </c>
      <c r="C46" s="2"/>
      <c r="D46" s="2">
        <f t="shared" ref="D46" si="1">D45/D43</f>
        <v>0.74515850322293986</v>
      </c>
      <c r="E46" s="2"/>
      <c r="F46" s="2">
        <f t="shared" ref="F46" si="2">F45/F43</f>
        <v>3.0529299957338081</v>
      </c>
    </row>
  </sheetData>
  <mergeCells count="1">
    <mergeCell ref="N3:O3"/>
  </mergeCells>
  <pageMargins left="0.7" right="0.7" top="0.75" bottom="0.75" header="0.3" footer="0.3"/>
  <pageSetup orientation="portrait" horizontalDpi="90" verticalDpi="9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672C62-4F48-4356-8081-3D80B50F89E3}">
  <sheetPr codeName="Sheet9">
    <tabColor rgb="FF002060"/>
  </sheetPr>
  <dimension ref="A1:R149"/>
  <sheetViews>
    <sheetView showGridLines="0" zoomScale="115" zoomScaleNormal="115" workbookViewId="0"/>
  </sheetViews>
  <sheetFormatPr defaultColWidth="8.85546875" defaultRowHeight="15"/>
  <cols>
    <col min="1" max="1" width="69.5703125" customWidth="1"/>
    <col min="2" max="2" width="13.85546875" bestFit="1" customWidth="1"/>
    <col min="3" max="3" width="2.85546875" customWidth="1"/>
    <col min="4" max="4" width="13.85546875" customWidth="1"/>
    <col min="5" max="5" width="2.42578125" customWidth="1"/>
    <col min="6" max="6" width="17.140625" bestFit="1" customWidth="1"/>
    <col min="7" max="7" width="16.85546875" customWidth="1"/>
    <col min="8" max="8" width="27.140625" bestFit="1" customWidth="1"/>
    <col min="9" max="9" width="10.5703125" bestFit="1" customWidth="1"/>
    <col min="10" max="10" width="2.42578125" customWidth="1"/>
    <col min="11" max="11" width="10.5703125" bestFit="1" customWidth="1"/>
    <col min="12" max="12" width="2.42578125" customWidth="1"/>
    <col min="13" max="13" width="10.5703125" bestFit="1" customWidth="1"/>
  </cols>
  <sheetData>
    <row r="1" spans="1:18">
      <c r="A1" s="3" t="s">
        <v>448</v>
      </c>
      <c r="B1" s="4"/>
      <c r="C1" s="4"/>
      <c r="D1" s="4"/>
      <c r="E1" s="4"/>
      <c r="F1" s="4"/>
      <c r="G1" s="4"/>
      <c r="H1" s="4"/>
      <c r="I1" s="4"/>
      <c r="J1" s="4"/>
      <c r="K1" s="4"/>
      <c r="L1" s="4"/>
      <c r="M1" s="4"/>
      <c r="N1" s="4"/>
      <c r="O1" s="4"/>
      <c r="P1" s="4"/>
      <c r="Q1" s="4"/>
      <c r="R1" s="4"/>
    </row>
    <row r="2" spans="1:18">
      <c r="A2" s="1" t="s">
        <v>512</v>
      </c>
    </row>
    <row r="3" spans="1:18" ht="15.75" thickBot="1">
      <c r="A3" s="5" t="s">
        <v>332</v>
      </c>
      <c r="B3" s="6"/>
      <c r="C3" s="6"/>
      <c r="D3" s="6"/>
      <c r="E3" s="6"/>
      <c r="F3" s="6"/>
      <c r="G3" s="6"/>
      <c r="H3" s="6"/>
      <c r="I3" s="6"/>
      <c r="J3" s="6"/>
      <c r="K3" s="6"/>
      <c r="L3" s="6"/>
      <c r="M3" s="6"/>
      <c r="N3" s="6"/>
      <c r="O3" s="6"/>
      <c r="P3" s="6"/>
      <c r="Q3" s="6"/>
      <c r="R3" s="6"/>
    </row>
    <row r="5" spans="1:18">
      <c r="A5" s="1" t="s">
        <v>57</v>
      </c>
      <c r="B5" s="1" t="s">
        <v>86</v>
      </c>
      <c r="C5" s="1"/>
      <c r="D5" s="1" t="s">
        <v>87</v>
      </c>
      <c r="E5" s="1"/>
      <c r="F5" s="1" t="s">
        <v>88</v>
      </c>
    </row>
    <row r="6" spans="1:18">
      <c r="B6" s="87"/>
      <c r="C6" s="87"/>
      <c r="D6" s="87"/>
      <c r="E6" s="87"/>
      <c r="F6" s="87"/>
    </row>
    <row r="7" spans="1:18">
      <c r="A7" s="60" t="s">
        <v>450</v>
      </c>
      <c r="B7" s="99">
        <f>SUM(B8:B12)</f>
        <v>1830974.2394123727</v>
      </c>
      <c r="C7" s="99"/>
      <c r="D7" s="99">
        <f t="shared" ref="D7" si="0">SUM(D8:D12)</f>
        <v>5501050.5959101208</v>
      </c>
      <c r="E7" s="99"/>
      <c r="F7" s="99">
        <f t="shared" ref="F7" si="1">SUM(F8:F12)</f>
        <v>1198792.4807725206</v>
      </c>
      <c r="G7" s="31"/>
    </row>
    <row r="8" spans="1:18">
      <c r="A8" s="88" t="s">
        <v>333</v>
      </c>
      <c r="B8" s="99">
        <f>B14</f>
        <v>1830974.2394123727</v>
      </c>
      <c r="C8" s="99"/>
      <c r="D8" s="99">
        <f t="shared" ref="D8" si="2">D14</f>
        <v>5501050.5959101208</v>
      </c>
      <c r="E8" s="99"/>
      <c r="F8" s="99">
        <f t="shared" ref="F8" si="3">F14</f>
        <v>1198792.4807725206</v>
      </c>
    </row>
    <row r="9" spans="1:18">
      <c r="A9" s="88" t="s">
        <v>451</v>
      </c>
      <c r="B9" s="98">
        <f>'2a.iv Inputs - Bermuda Factors'!$B14</f>
        <v>0</v>
      </c>
      <c r="C9" s="98"/>
      <c r="D9" s="98">
        <f>'2a.iv Inputs - Bermuda Factors'!$B14</f>
        <v>0</v>
      </c>
      <c r="E9" s="98"/>
      <c r="F9" s="98">
        <f>'2a.iv Inputs - Bermuda Factors'!$B14</f>
        <v>0</v>
      </c>
    </row>
    <row r="10" spans="1:18">
      <c r="A10" s="88" t="s">
        <v>452</v>
      </c>
      <c r="B10" s="98">
        <f>'2a.iv Inputs - Bermuda Factors'!$B15</f>
        <v>0</v>
      </c>
      <c r="C10" s="98"/>
      <c r="D10" s="98">
        <f>'2a.iv Inputs - Bermuda Factors'!$B15</f>
        <v>0</v>
      </c>
      <c r="E10" s="98"/>
      <c r="F10" s="98">
        <f>'2a.iv Inputs - Bermuda Factors'!$B15</f>
        <v>0</v>
      </c>
    </row>
    <row r="11" spans="1:18">
      <c r="A11" s="88" t="s">
        <v>453</v>
      </c>
      <c r="B11" s="98">
        <f>'2a.iv Inputs - Bermuda Factors'!$B16</f>
        <v>0</v>
      </c>
      <c r="C11" s="98"/>
      <c r="D11" s="98">
        <f>'2a.iv Inputs - Bermuda Factors'!$B16</f>
        <v>0</v>
      </c>
      <c r="E11" s="98"/>
      <c r="F11" s="98">
        <f>'2a.iv Inputs - Bermuda Factors'!$B16</f>
        <v>0</v>
      </c>
      <c r="G11" s="63"/>
    </row>
    <row r="12" spans="1:18">
      <c r="A12" s="88" t="s">
        <v>454</v>
      </c>
      <c r="B12" s="98">
        <f>'2a.iv Inputs - Bermuda Factors'!$B17</f>
        <v>0</v>
      </c>
      <c r="C12" s="98"/>
      <c r="D12" s="98">
        <f>'2a.iv Inputs - Bermuda Factors'!$B17</f>
        <v>0</v>
      </c>
      <c r="E12" s="98"/>
      <c r="F12" s="98">
        <f>'2a.iv Inputs - Bermuda Factors'!$B17</f>
        <v>0</v>
      </c>
      <c r="G12" s="63"/>
    </row>
    <row r="13" spans="1:18">
      <c r="A13" s="90"/>
      <c r="B13" s="98"/>
      <c r="C13" s="98"/>
      <c r="D13" s="98"/>
      <c r="E13" s="98"/>
      <c r="F13" s="98"/>
    </row>
    <row r="14" spans="1:18">
      <c r="A14" s="91" t="s">
        <v>334</v>
      </c>
      <c r="B14" s="99">
        <f>(B15^2+B16^2+B17^2+B18^2+2*('2a.iv Inputs - Bermuda Factors'!$B$58*B16*(B15+B18)+'2a.iv Inputs - Bermuda Factors'!$C$59*B16*B17+'2a.iv Inputs - Bermuda Factors'!$B$59*B15*(B17+B18)))^0.5</f>
        <v>1830974.2394123727</v>
      </c>
      <c r="C14" s="99"/>
      <c r="D14" s="99">
        <f>(D15^2+D16^2+D17^2+D18^2+2*('2a.iv Inputs - Bermuda Factors'!$B$58*D16*(D15+D18)+'2a.iv Inputs - Bermuda Factors'!$C$59*D16*D17+'2a.iv Inputs - Bermuda Factors'!$B$59*D15*(D17+D18)))^0.5</f>
        <v>5501050.5959101208</v>
      </c>
      <c r="E14" s="99"/>
      <c r="F14" s="99">
        <f>(F15^2+F16^2+F17^2+F18^2+2*('2a.iv Inputs - Bermuda Factors'!$B$58*F16*(F15+F18)+'2a.iv Inputs - Bermuda Factors'!$C$59*F16*F17+'2a.iv Inputs - Bermuda Factors'!$B$59*F15*(F17+F18)))^0.5</f>
        <v>1198792.4807725206</v>
      </c>
    </row>
    <row r="15" spans="1:18">
      <c r="A15" s="88" t="s">
        <v>455</v>
      </c>
      <c r="B15" s="98">
        <f>B20</f>
        <v>1646820.820964444</v>
      </c>
      <c r="C15" s="98"/>
      <c r="D15" s="98">
        <f t="shared" ref="D15" si="4">D20</f>
        <v>5383086.3986489428</v>
      </c>
      <c r="E15" s="98"/>
      <c r="F15" s="98">
        <f t="shared" ref="F15" si="5">F20</f>
        <v>1015017.3193186268</v>
      </c>
      <c r="H15" s="87" t="s">
        <v>335</v>
      </c>
      <c r="I15" s="89">
        <f>SUM(B22:B26,B28,B31:B37)</f>
        <v>3398199.7848634678</v>
      </c>
      <c r="J15" s="87"/>
      <c r="K15" s="89">
        <f>SUM(D22:D26,D28,D31:D37)</f>
        <v>8172377.1019827416</v>
      </c>
      <c r="L15" s="87"/>
      <c r="M15" s="89">
        <f>SUM(F22:F26,F28,F31:F37)</f>
        <v>2380914.094613946</v>
      </c>
    </row>
    <row r="16" spans="1:18">
      <c r="A16" s="88" t="s">
        <v>456</v>
      </c>
      <c r="B16" s="98">
        <f>B28</f>
        <v>0</v>
      </c>
      <c r="C16" s="98"/>
      <c r="D16" s="98">
        <f t="shared" ref="D16" si="6">D28</f>
        <v>0</v>
      </c>
      <c r="E16" s="98"/>
      <c r="F16" s="98">
        <f t="shared" ref="F16" si="7">F28</f>
        <v>0</v>
      </c>
      <c r="H16" s="87"/>
      <c r="I16" s="87"/>
      <c r="J16" s="87"/>
      <c r="K16" s="87"/>
      <c r="L16" s="87"/>
      <c r="M16" s="87"/>
    </row>
    <row r="17" spans="1:17">
      <c r="A17" s="88" t="s">
        <v>457</v>
      </c>
      <c r="B17" s="98">
        <f>B30</f>
        <v>588913.16319428908</v>
      </c>
      <c r="C17" s="98"/>
      <c r="D17" s="98">
        <f t="shared" ref="D17" si="8">D30</f>
        <v>588913.16319428908</v>
      </c>
      <c r="E17" s="98"/>
      <c r="F17" s="98">
        <f t="shared" ref="F17" si="9">F30</f>
        <v>495670.53240146744</v>
      </c>
      <c r="H17" s="87"/>
      <c r="I17" s="87"/>
      <c r="J17" s="87"/>
      <c r="K17" s="87"/>
      <c r="L17" s="87"/>
      <c r="M17" s="87"/>
    </row>
    <row r="18" spans="1:17">
      <c r="A18" s="88" t="s">
        <v>458</v>
      </c>
      <c r="B18" s="98">
        <f>'2a.iv Inputs - Bermuda Factors'!$B$6</f>
        <v>100000</v>
      </c>
      <c r="C18" s="98"/>
      <c r="D18" s="98">
        <f>'2a.iv Inputs - Bermuda Factors'!$B$6</f>
        <v>100000</v>
      </c>
      <c r="E18" s="98"/>
      <c r="F18" s="98">
        <f>'2a.iv Inputs - Bermuda Factors'!$B$6</f>
        <v>100000</v>
      </c>
      <c r="G18" s="63"/>
      <c r="H18" s="87"/>
      <c r="I18" s="87"/>
      <c r="J18" s="87"/>
      <c r="K18" s="87"/>
      <c r="L18" s="87"/>
      <c r="M18" s="87"/>
    </row>
    <row r="19" spans="1:17">
      <c r="A19" s="88"/>
      <c r="B19" s="32"/>
      <c r="C19" s="32"/>
      <c r="D19" s="32"/>
      <c r="E19" s="32"/>
      <c r="F19" s="32"/>
      <c r="H19" s="87"/>
      <c r="I19" s="87"/>
      <c r="J19" s="87"/>
      <c r="K19" s="87"/>
      <c r="L19" s="87"/>
      <c r="M19" s="87"/>
    </row>
    <row r="20" spans="1:17" ht="15" customHeight="1">
      <c r="A20" s="92" t="s">
        <v>459</v>
      </c>
      <c r="B20" s="99">
        <f>(B22^2+B23^2+B24^2+B25^2+B26^2+2*('2a.iv Inputs - Bermuda Factors'!$B$65*B22*B23+'2a.iv Inputs - Bermuda Factors'!$B$67*(B22+B23+B24)+B21*B24*(B23+B22)))^0.5</f>
        <v>1646820.820964444</v>
      </c>
      <c r="C20" s="99"/>
      <c r="D20" s="99">
        <f>(D22^2+D23^2+D24^2+D25^2+D26^2+2*('2a.iv Inputs - Bermuda Factors'!$B$65*D22*D23+'2a.iv Inputs - Bermuda Factors'!$B$67*(D22+D23+D24)+D21*D24*(D23+D22)))^0.5</f>
        <v>5383086.3986489428</v>
      </c>
      <c r="E20" s="99"/>
      <c r="F20" s="99">
        <f>(F22^2+F23^2+F24^2+F25^2+F26^2+2*('2a.iv Inputs - Bermuda Factors'!$B$65*F22*F23+'2a.iv Inputs - Bermuda Factors'!$B$67*(F22+F23+F24)+F21*F24*(F23+F22)))^0.5</f>
        <v>1015017.3193186268</v>
      </c>
      <c r="H20" s="87"/>
      <c r="I20" s="87"/>
      <c r="J20" s="87"/>
      <c r="K20" s="87"/>
      <c r="L20" s="87"/>
      <c r="M20" s="87"/>
    </row>
    <row r="21" spans="1:17" ht="13.35" customHeight="1">
      <c r="A21" s="88" t="s">
        <v>66</v>
      </c>
      <c r="B21" s="98">
        <v>0</v>
      </c>
      <c r="C21" s="98"/>
      <c r="D21" s="98">
        <v>0</v>
      </c>
      <c r="E21" s="98"/>
      <c r="F21" s="98">
        <v>0</v>
      </c>
      <c r="H21" s="87"/>
      <c r="I21" s="87"/>
      <c r="J21" s="87"/>
      <c r="K21" s="87"/>
      <c r="L21" s="87"/>
      <c r="M21" s="87"/>
    </row>
    <row r="22" spans="1:17">
      <c r="A22" s="88" t="s">
        <v>460</v>
      </c>
      <c r="B22" s="98">
        <f>SUM('2b. Inputs - Assets'!C16:C17)*'2a.iv Inputs - Bermuda Factors'!B22+'2b. Inputs - Assets'!C18*'2a.iv Inputs - Bermuda Factors'!C22</f>
        <v>150400</v>
      </c>
      <c r="C22" s="98"/>
      <c r="D22" s="98">
        <f>SUM('2b. Inputs - Assets'!$I$16:$I$17)*'2a.iv Inputs - Bermuda Factors'!$B$22+'2b. Inputs - Assets'!$I$18*'2a.iv Inputs - Bermuda Factors'!$C$22</f>
        <v>74984</v>
      </c>
      <c r="E22" s="98"/>
      <c r="F22" s="98">
        <f>SUM('2b. Inputs - Assets'!$C$16:$C$17)*'2a.iv Inputs - Bermuda Factors'!$B$22+'2b. Inputs - Assets'!$C$18*'2a.iv Inputs - Bermuda Factors'!$C$22</f>
        <v>150400</v>
      </c>
      <c r="H22" s="87" t="s">
        <v>336</v>
      </c>
      <c r="I22" s="101">
        <f>B22/I$15</f>
        <v>4.4258728009437136E-2</v>
      </c>
      <c r="J22" s="87"/>
      <c r="K22" s="101">
        <f>D22/K$15</f>
        <v>9.1752985776693725E-3</v>
      </c>
      <c r="L22" s="87"/>
      <c r="M22" s="101">
        <f>F22/M$15</f>
        <v>6.316901577433294E-2</v>
      </c>
    </row>
    <row r="23" spans="1:17">
      <c r="A23" s="88" t="s">
        <v>461</v>
      </c>
      <c r="B23" s="98">
        <f>'2a.iv Inputs - Bermuda Factors'!$B$31*SUM(B43:B45)</f>
        <v>765000</v>
      </c>
      <c r="C23" s="98"/>
      <c r="D23" s="98">
        <f>'2a.iv Inputs - Bermuda Factors'!$B$31*SUM(D43:D45)</f>
        <v>4914000</v>
      </c>
      <c r="E23" s="98"/>
      <c r="F23" s="98">
        <f>'2a.iv Inputs - Bermuda Factors'!$B$31*SUM(F43:F45)</f>
        <v>765000</v>
      </c>
      <c r="G23" s="11"/>
      <c r="H23" s="87" t="s">
        <v>337</v>
      </c>
      <c r="I23" s="101">
        <f>B23/I$15</f>
        <v>0.2251191949948099</v>
      </c>
      <c r="J23" s="87"/>
      <c r="K23" s="101">
        <f>D23/K$15</f>
        <v>0.60129383882784726</v>
      </c>
      <c r="L23" s="87"/>
      <c r="M23" s="101">
        <f>F23/M$15</f>
        <v>0.32130516667130787</v>
      </c>
    </row>
    <row r="24" spans="1:17">
      <c r="A24" s="88" t="s">
        <v>462</v>
      </c>
      <c r="B24" s="98">
        <f>'3c. Europe'!B9</f>
        <v>1410360.4126186322</v>
      </c>
      <c r="C24" s="98"/>
      <c r="D24" s="98">
        <f>'3c. Europe'!$D$9</f>
        <v>2110953.7297379067</v>
      </c>
      <c r="E24" s="98"/>
      <c r="F24" s="98">
        <f>'3c. Europe'!$F$9</f>
        <v>554399.01119795092</v>
      </c>
      <c r="G24" s="63"/>
      <c r="H24" s="87" t="s">
        <v>338</v>
      </c>
      <c r="I24" s="101">
        <f>B24/I$15</f>
        <v>0.41503163495588807</v>
      </c>
      <c r="J24" s="87"/>
      <c r="K24" s="101">
        <f>D24/K$15</f>
        <v>0.2583035148030256</v>
      </c>
      <c r="L24" s="87"/>
      <c r="M24" s="101">
        <f>F24/M$15</f>
        <v>0.23285132901355018</v>
      </c>
    </row>
    <row r="25" spans="1:17">
      <c r="A25" s="88" t="s">
        <v>463</v>
      </c>
      <c r="B25" s="98">
        <f>'2a.iv Inputs - Bermuda Factors'!$B7</f>
        <v>0</v>
      </c>
      <c r="C25" s="98"/>
      <c r="D25" s="98">
        <f>'2a.iv Inputs - Bermuda Factors'!$B7</f>
        <v>0</v>
      </c>
      <c r="E25" s="98"/>
      <c r="F25" s="98">
        <f>'2a.iv Inputs - Bermuda Factors'!$B7</f>
        <v>0</v>
      </c>
      <c r="H25" s="87" t="s">
        <v>266</v>
      </c>
      <c r="I25" s="101">
        <f>B25/I$15</f>
        <v>0</v>
      </c>
      <c r="J25" s="87"/>
      <c r="K25" s="101">
        <f>D25/K$15</f>
        <v>0</v>
      </c>
      <c r="L25" s="87"/>
      <c r="M25" s="101">
        <f>F25/M$15</f>
        <v>0</v>
      </c>
    </row>
    <row r="26" spans="1:17">
      <c r="A26" s="88" t="s">
        <v>464</v>
      </c>
      <c r="B26" s="98">
        <f>'2a.iv Inputs - Bermuda Factors'!$B8</f>
        <v>0</v>
      </c>
      <c r="C26" s="98"/>
      <c r="D26" s="98">
        <f>'2a.iv Inputs - Bermuda Factors'!$B8</f>
        <v>0</v>
      </c>
      <c r="E26" s="98"/>
      <c r="F26" s="98">
        <f>'2a.iv Inputs - Bermuda Factors'!$B8</f>
        <v>0</v>
      </c>
      <c r="H26" s="87" t="s">
        <v>339</v>
      </c>
      <c r="I26" s="101">
        <f>B26/I$15</f>
        <v>0</v>
      </c>
      <c r="J26" s="87"/>
      <c r="K26" s="101">
        <f>D26/K$15</f>
        <v>0</v>
      </c>
      <c r="L26" s="87"/>
      <c r="M26" s="101">
        <f>F26/M$15</f>
        <v>0</v>
      </c>
    </row>
    <row r="27" spans="1:17">
      <c r="B27" s="32"/>
      <c r="C27" s="32"/>
      <c r="D27" s="32"/>
      <c r="E27" s="32"/>
      <c r="F27" s="32"/>
      <c r="H27" s="87"/>
      <c r="I27" s="87"/>
      <c r="J27" s="87"/>
      <c r="K27" s="87"/>
      <c r="L27" s="87"/>
      <c r="M27" s="87"/>
    </row>
    <row r="28" spans="1:17">
      <c r="A28" s="92" t="s">
        <v>465</v>
      </c>
      <c r="B28" s="98">
        <f>'2a.iv Inputs - Bermuda Factors'!$B$9</f>
        <v>0</v>
      </c>
      <c r="C28" s="98"/>
      <c r="D28" s="98">
        <f>'2a.iv Inputs - Bermuda Factors'!$B$9</f>
        <v>0</v>
      </c>
      <c r="E28" s="98"/>
      <c r="F28" s="98">
        <f>'2a.iv Inputs - Bermuda Factors'!$B$9</f>
        <v>0</v>
      </c>
      <c r="H28" s="87" t="s">
        <v>340</v>
      </c>
      <c r="I28" s="101">
        <f>B28/I$15</f>
        <v>0</v>
      </c>
      <c r="J28" s="87"/>
      <c r="K28" s="101">
        <f>D28/K$15</f>
        <v>0</v>
      </c>
      <c r="L28" s="87"/>
      <c r="M28" s="101">
        <f>F28/M$15</f>
        <v>0</v>
      </c>
    </row>
    <row r="29" spans="1:17">
      <c r="A29" s="88"/>
      <c r="B29" s="100"/>
      <c r="C29" s="100"/>
      <c r="D29" s="100"/>
      <c r="E29" s="100"/>
      <c r="F29" s="100"/>
      <c r="G29" s="88"/>
      <c r="H29" s="87"/>
      <c r="I29" s="87"/>
      <c r="J29" s="87"/>
      <c r="K29" s="87"/>
      <c r="L29" s="87"/>
      <c r="M29" s="87"/>
    </row>
    <row r="30" spans="1:17">
      <c r="A30" s="91" t="s">
        <v>466</v>
      </c>
      <c r="B30" s="99">
        <f>((B31^2+B32^2+B33^2+B34^2+B35^2+B36^2+B37^2)+2*('2a.iv Inputs - Bermuda Factors'!$B$73*(B31*B32+B31*B33+B32*B33)+'2a.iv Inputs - Bermuda Factors'!$B$75*(B31*B34+B37*(B36+B35+B34+B33+B32))+'2a.iv Inputs - Bermuda Factors'!$B$76*(B35*(B31+B32+B33))+'2a.iv Inputs - Bermuda Factors'!$B$78*(B31*B37)))^0.5</f>
        <v>588913.16319428908</v>
      </c>
      <c r="C30" s="99"/>
      <c r="D30" s="99">
        <f>((D31^2+D32^2+D33^2+D34^2+D35^2+D36^2+D37^2)+2*('2a.iv Inputs - Bermuda Factors'!$B$73*(D31*D32+D31*D33+D32*D33)+'2a.iv Inputs - Bermuda Factors'!$B$75*(D31*D34+D37*(D36+D35+D34+D33+D32))+'2a.iv Inputs - Bermuda Factors'!$B$76*(D35*(D31+D32+D33))+'2a.iv Inputs - Bermuda Factors'!$B$78*(D31*D37)))^0.5</f>
        <v>588913.16319428908</v>
      </c>
      <c r="E30" s="99"/>
      <c r="F30" s="99">
        <f>((F31^2+F32^2+F33^2+F34^2+F35^2+F36^2+F37^2)+2*('2a.iv Inputs - Bermuda Factors'!$B$73*(F31*F32+F31*F33+F32*F33)+'2a.iv Inputs - Bermuda Factors'!$B$75*(F31*F34+F37*(F36+F35+F34+F33+F32))+'2a.iv Inputs - Bermuda Factors'!$B$76*(F35*(F31+F32+F33))+'2a.iv Inputs - Bermuda Factors'!$B$78*(F31*F37)))^0.5</f>
        <v>495670.53240146744</v>
      </c>
      <c r="G30" s="88"/>
      <c r="H30" s="87"/>
      <c r="I30" s="87"/>
      <c r="J30" s="87"/>
      <c r="K30" s="87"/>
      <c r="L30" s="87"/>
      <c r="M30" s="87"/>
      <c r="Q30" s="88"/>
    </row>
    <row r="31" spans="1:17" ht="15" customHeight="1">
      <c r="A31" s="88" t="s">
        <v>467</v>
      </c>
      <c r="B31" s="98">
        <f>('2c. Inputs - Liabilities'!$K$19/1000)*IF('2c. Inputs - Liabilities'!$K$19&lt;'2a.iv Inputs - Bermuda Factors'!$B$37,'2a.iv Inputs - Bermuda Factors'!$D$37,IF('2c. Inputs - Liabilities'!$K$19&lt;'2a.iv Inputs - Bermuda Factors'!$B$38,'2a.iv Inputs - Bermuda Factors'!$D$38,IF('2c. Inputs - Liabilities'!$K$19&lt;'2a.iv Inputs - Bermuda Factors'!$B$39,'2a.iv Inputs - Bermuda Factors'!$D$39,IF('2c. Inputs - Liabilities'!$K$19&lt;'2a.iv Inputs - Bermuda Factors'!$B$40,'2a.iv Inputs - Bermuda Factors'!$D$40,'2a.iv Inputs - Bermuda Factors'!$D$41))))</f>
        <v>666491.47529621504</v>
      </c>
      <c r="C31" s="98"/>
      <c r="D31" s="98">
        <f>('2c. Inputs - Liabilities'!$K$19/1000)*IF('2c. Inputs - Liabilities'!$K$19&lt;'2a.iv Inputs - Bermuda Factors'!$B$37,'2a.iv Inputs - Bermuda Factors'!$D$37,IF('2c. Inputs - Liabilities'!$K$19&lt;'2a.iv Inputs - Bermuda Factors'!$B$38,'2a.iv Inputs - Bermuda Factors'!$D$38,IF('2c. Inputs - Liabilities'!$K$19&lt;'2a.iv Inputs - Bermuda Factors'!$B$39,'2a.iv Inputs - Bermuda Factors'!$D$39,IF('2c. Inputs - Liabilities'!$K$19&lt;'2a.iv Inputs - Bermuda Factors'!$B$40,'2a.iv Inputs - Bermuda Factors'!$D$40,'2a.iv Inputs - Bermuda Factors'!$D$41))))</f>
        <v>666491.47529621504</v>
      </c>
      <c r="E31" s="98"/>
      <c r="F31" s="98">
        <f>('2c. Inputs - Liabilities'!$K$30/1000)*IF('2c. Inputs - Liabilities'!$K$19&lt;'2a.iv Inputs - Bermuda Factors'!$B$37,'2a.iv Inputs - Bermuda Factors'!$D$37,IF('2c. Inputs - Liabilities'!$K$19&lt;'2a.iv Inputs - Bermuda Factors'!$B$38,'2a.iv Inputs - Bermuda Factors'!$D$38,IF('2c. Inputs - Liabilities'!$K$19&lt;'2a.iv Inputs - Bermuda Factors'!$B$39,'2a.iv Inputs - Bermuda Factors'!$D$39,IF('2c. Inputs - Liabilities'!$K$19&lt;'2a.iv Inputs - Bermuda Factors'!$B$40,'2a.iv Inputs - Bermuda Factors'!$D$40,'2a.iv Inputs - Bermuda Factors'!$D$41))))</f>
        <v>333409.21640160767</v>
      </c>
      <c r="G31" s="88"/>
      <c r="H31" s="87" t="s">
        <v>89</v>
      </c>
      <c r="I31" s="101">
        <f t="shared" ref="I31:I37" si="10">B31/I$15</f>
        <v>0.19613075083606163</v>
      </c>
      <c r="J31" s="87"/>
      <c r="K31" s="101">
        <f t="shared" ref="K31:K37" si="11">D31/K$15</f>
        <v>8.1554175361598785E-2</v>
      </c>
      <c r="L31" s="87"/>
      <c r="M31" s="101">
        <f t="shared" ref="M31:M37" si="12">F31/M$15</f>
        <v>0.14003412267407675</v>
      </c>
    </row>
    <row r="32" spans="1:17" ht="15" customHeight="1">
      <c r="A32" s="88" t="s">
        <v>468</v>
      </c>
      <c r="B32" s="98">
        <f>'2a.iv Inputs - Bermuda Factors'!$B10</f>
        <v>0</v>
      </c>
      <c r="C32" s="98"/>
      <c r="D32" s="98">
        <f>'2a.iv Inputs - Bermuda Factors'!$B10</f>
        <v>0</v>
      </c>
      <c r="E32" s="98"/>
      <c r="F32" s="98">
        <f>'2a.iv Inputs - Bermuda Factors'!$B10</f>
        <v>0</v>
      </c>
      <c r="G32" s="88"/>
      <c r="H32" s="87" t="s">
        <v>341</v>
      </c>
      <c r="I32" s="101">
        <f t="shared" si="10"/>
        <v>0</v>
      </c>
      <c r="J32" s="87"/>
      <c r="K32" s="101">
        <f t="shared" si="11"/>
        <v>0</v>
      </c>
      <c r="L32" s="87"/>
      <c r="M32" s="101">
        <f t="shared" si="12"/>
        <v>0</v>
      </c>
    </row>
    <row r="33" spans="1:16">
      <c r="A33" s="90" t="s">
        <v>469</v>
      </c>
      <c r="B33" s="98">
        <f>'2a.iv Inputs - Bermuda Factors'!$B11</f>
        <v>0</v>
      </c>
      <c r="C33" s="98"/>
      <c r="D33" s="98">
        <f>'2a.iv Inputs - Bermuda Factors'!$B11</f>
        <v>0</v>
      </c>
      <c r="E33" s="98"/>
      <c r="F33" s="98">
        <f>'2a.iv Inputs - Bermuda Factors'!$B11</f>
        <v>0</v>
      </c>
      <c r="G33" s="88"/>
      <c r="H33" s="87" t="s">
        <v>342</v>
      </c>
      <c r="I33" s="101">
        <f t="shared" si="10"/>
        <v>0</v>
      </c>
      <c r="J33" s="87"/>
      <c r="K33" s="101">
        <f t="shared" si="11"/>
        <v>0</v>
      </c>
      <c r="L33" s="87"/>
      <c r="M33" s="101">
        <f t="shared" si="12"/>
        <v>0</v>
      </c>
    </row>
    <row r="34" spans="1:16">
      <c r="A34" s="88" t="s">
        <v>507</v>
      </c>
      <c r="B34" s="98">
        <f>'2a.iv Inputs - Bermuda Factors'!$B12</f>
        <v>0</v>
      </c>
      <c r="C34" s="98"/>
      <c r="D34" s="98">
        <f>'2a.iv Inputs - Bermuda Factors'!$B12</f>
        <v>0</v>
      </c>
      <c r="E34" s="98"/>
      <c r="F34" s="98">
        <f>'2a.iv Inputs - Bermuda Factors'!$B12</f>
        <v>0</v>
      </c>
      <c r="G34" s="88"/>
      <c r="H34" s="87" t="s">
        <v>273</v>
      </c>
      <c r="I34" s="101">
        <f t="shared" si="10"/>
        <v>0</v>
      </c>
      <c r="J34" s="87"/>
      <c r="K34" s="101">
        <f t="shared" si="11"/>
        <v>0</v>
      </c>
      <c r="L34" s="87"/>
      <c r="M34" s="101">
        <f t="shared" si="12"/>
        <v>0</v>
      </c>
    </row>
    <row r="35" spans="1:16">
      <c r="A35" s="88" t="s">
        <v>470</v>
      </c>
      <c r="B35" s="98">
        <f>'2c. Inputs - Liabilities'!$L$20*IF('2c. Inputs - Liabilities'!$E$20&lt;='2a.iv Inputs - Bermuda Factors'!$B$45,'2a.iv Inputs - Bermuda Factors'!$C$45,IF('2c. Inputs - Liabilities'!$E$20&lt;='2a.iv Inputs - Bermuda Factors'!$B$46,'2a.iv Inputs - Bermuda Factors'!$C$46,IF('2c. Inputs - Liabilities'!$E$20&lt;='2a.iv Inputs - Bermuda Factors'!$B$47,'2a.iv Inputs - Bermuda Factors'!$C$47,IF('2c. Inputs - Liabilities'!$E$20&lt;='2a.iv Inputs - Bermuda Factors'!$B$48,'2a.iv Inputs - Bermuda Factors'!$C$48, IF('2c. Inputs - Liabilities'!$E$20&lt;='2a.iv Inputs - Bermuda Factors'!$B$49,'2a.iv Inputs - Bermuda Factors'!$C$49,'2a.iv Inputs - Bermuda Factors'!$C$50)))))</f>
        <v>375000</v>
      </c>
      <c r="C35" s="98"/>
      <c r="D35" s="98">
        <f>'2c. Inputs - Liabilities'!$L$20*IF('2c. Inputs - Liabilities'!$E$20&lt;='2a.iv Inputs - Bermuda Factors'!$B$45,'2a.iv Inputs - Bermuda Factors'!$C$45,IF('2c. Inputs - Liabilities'!$E$20&lt;='2a.iv Inputs - Bermuda Factors'!$B$46,'2a.iv Inputs - Bermuda Factors'!$C$46,IF('2c. Inputs - Liabilities'!$E$20&lt;='2a.iv Inputs - Bermuda Factors'!$B$47,'2a.iv Inputs - Bermuda Factors'!$C$47,IF('2c. Inputs - Liabilities'!$E$20&lt;='2a.iv Inputs - Bermuda Factors'!$B$48,'2a.iv Inputs - Bermuda Factors'!$C$48, IF('2c. Inputs - Liabilities'!$E$20&lt;='2a.iv Inputs - Bermuda Factors'!$B$49,'2a.iv Inputs - Bermuda Factors'!$C$49,'2a.iv Inputs - Bermuda Factors'!$C$50)))))</f>
        <v>375000</v>
      </c>
      <c r="E35" s="98"/>
      <c r="F35" s="98">
        <f>'2c. Inputs - Liabilities'!$L$31*IF('2c. Inputs - Liabilities'!$E$31&lt;='2a.iv Inputs - Bermuda Factors'!$B$45,'2a.iv Inputs - Bermuda Factors'!$C$45,IF('2c. Inputs - Liabilities'!$E$31&lt;='2a.iv Inputs - Bermuda Factors'!$B$46,'2a.iv Inputs - Bermuda Factors'!$C$46,IF('2c. Inputs - Liabilities'!$E$31&lt;='2a.iv Inputs - Bermuda Factors'!$B$47,'2a.iv Inputs - Bermuda Factors'!$C$47,IF('2c. Inputs - Liabilities'!$E$31&lt;='2a.iv Inputs - Bermuda Factors'!$B$48,'2a.iv Inputs - Bermuda Factors'!$C$48, IF('2c. Inputs - Liabilities'!$E$31&lt;='2a.iv Inputs - Bermuda Factors'!$B$49,'2a.iv Inputs - Bermuda Factors'!$C$49,'2a.iv Inputs - Bermuda Factors'!$C$50)))))</f>
        <v>562224.32755984098</v>
      </c>
      <c r="G35" s="88"/>
      <c r="H35" s="87" t="s">
        <v>90</v>
      </c>
      <c r="I35" s="101">
        <f t="shared" si="10"/>
        <v>0.11035254656608327</v>
      </c>
      <c r="J35" s="87"/>
      <c r="K35" s="101">
        <f t="shared" si="11"/>
        <v>4.5886281961832052E-2</v>
      </c>
      <c r="L35" s="87"/>
      <c r="M35" s="101">
        <f t="shared" si="12"/>
        <v>0.23613801473631202</v>
      </c>
    </row>
    <row r="36" spans="1:16">
      <c r="A36" s="88" t="s">
        <v>471</v>
      </c>
      <c r="B36" s="98">
        <f>'2a.iv Inputs - Bermuda Factors'!$B13</f>
        <v>0</v>
      </c>
      <c r="C36" s="98"/>
      <c r="D36" s="98">
        <f>'2a.iv Inputs - Bermuda Factors'!$B13</f>
        <v>0</v>
      </c>
      <c r="E36" s="98"/>
      <c r="F36" s="98">
        <f>'2a.iv Inputs - Bermuda Factors'!$B13</f>
        <v>0</v>
      </c>
      <c r="G36" s="88"/>
      <c r="H36" s="87" t="s">
        <v>343</v>
      </c>
      <c r="I36" s="101">
        <f t="shared" si="10"/>
        <v>0</v>
      </c>
      <c r="J36" s="87"/>
      <c r="K36" s="101">
        <f t="shared" si="11"/>
        <v>0</v>
      </c>
      <c r="L36" s="87"/>
      <c r="M36" s="101">
        <f t="shared" si="12"/>
        <v>0</v>
      </c>
    </row>
    <row r="37" spans="1:16" ht="26.25">
      <c r="A37" s="90" t="s">
        <v>472</v>
      </c>
      <c r="B37" s="98">
        <f>'2a.iv Inputs - Bermuda Factors'!$B$54*'2c. Inputs - Liabilities'!$L$19+'2a.iv Inputs - Bermuda Factors'!$B$55*'2c. Inputs - Liabilities'!$L$20</f>
        <v>30947.89694862016</v>
      </c>
      <c r="C37" s="98"/>
      <c r="D37" s="98">
        <f>'2a.iv Inputs - Bermuda Factors'!$B$54*'2c. Inputs - Liabilities'!$L$19+'2a.iv Inputs - Bermuda Factors'!$B$55*'2c. Inputs - Liabilities'!$L$20</f>
        <v>30947.89694862016</v>
      </c>
      <c r="E37" s="98"/>
      <c r="F37" s="98">
        <f>'2a.iv Inputs - Bermuda Factors'!$B$54*'2c. Inputs - Liabilities'!$L$30+'2a.iv Inputs - Bermuda Factors'!$B$55*'2c. Inputs - Liabilities'!$L$31</f>
        <v>15481.539454546346</v>
      </c>
      <c r="G37" s="88"/>
      <c r="H37" s="87" t="s">
        <v>344</v>
      </c>
      <c r="I37" s="101">
        <f t="shared" si="10"/>
        <v>9.1071446377198745E-3</v>
      </c>
      <c r="J37" s="87"/>
      <c r="K37" s="101">
        <f t="shared" si="11"/>
        <v>3.7868904680269507E-3</v>
      </c>
      <c r="L37" s="87"/>
      <c r="M37" s="101">
        <f t="shared" si="12"/>
        <v>6.5023511304201859E-3</v>
      </c>
    </row>
    <row r="38" spans="1:16">
      <c r="B38" s="89"/>
      <c r="C38" s="89"/>
      <c r="D38" s="89"/>
      <c r="E38" s="89"/>
      <c r="F38" s="89"/>
      <c r="G38" s="88"/>
    </row>
    <row r="39" spans="1:16">
      <c r="A39" s="91" t="s">
        <v>211</v>
      </c>
      <c r="H39" s="63"/>
      <c r="I39" s="89"/>
    </row>
    <row r="40" spans="1:16">
      <c r="A40" s="91" t="s">
        <v>18</v>
      </c>
      <c r="H40" s="63"/>
      <c r="I40" s="89"/>
    </row>
    <row r="41" spans="1:16" s="87" customFormat="1" ht="12.75">
      <c r="A41" s="87" t="s">
        <v>20</v>
      </c>
      <c r="B41" s="98">
        <f>SUM('2b. Inputs - Assets'!C16:C17)</f>
        <v>15050000</v>
      </c>
      <c r="C41" s="98"/>
      <c r="D41" s="98">
        <f>SUM('2b. Inputs - Assets'!I16:I17)</f>
        <v>3913000</v>
      </c>
      <c r="E41" s="98"/>
      <c r="F41" s="98">
        <f>SUM('2b. Inputs - Assets'!C16:C17)</f>
        <v>15050000</v>
      </c>
      <c r="H41" s="93"/>
      <c r="I41" s="89"/>
    </row>
    <row r="42" spans="1:16" s="87" customFormat="1" ht="12.75">
      <c r="A42" s="87" t="s">
        <v>22</v>
      </c>
      <c r="B42" s="98">
        <f>'2b. Inputs - Assets'!C18</f>
        <v>2500000</v>
      </c>
      <c r="C42" s="98"/>
      <c r="D42" s="98">
        <f>'2b. Inputs - Assets'!I18</f>
        <v>3640000</v>
      </c>
      <c r="E42" s="98"/>
      <c r="F42" s="98">
        <f>'2b. Inputs - Assets'!C18</f>
        <v>2500000</v>
      </c>
      <c r="H42" s="93"/>
      <c r="I42" s="89"/>
    </row>
    <row r="43" spans="1:16" s="87" customFormat="1" ht="12.75">
      <c r="A43" s="87" t="s">
        <v>24</v>
      </c>
      <c r="B43" s="98">
        <f>'2b. Inputs - Assets'!C19</f>
        <v>1000000</v>
      </c>
      <c r="C43" s="98"/>
      <c r="D43" s="98">
        <f>'2b. Inputs - Assets'!I19</f>
        <v>3640000</v>
      </c>
      <c r="E43" s="98"/>
      <c r="F43" s="98">
        <f>'2b. Inputs - Assets'!C19</f>
        <v>1000000</v>
      </c>
      <c r="H43" s="93"/>
      <c r="I43" s="89"/>
      <c r="P43" s="94"/>
    </row>
    <row r="44" spans="1:16" s="87" customFormat="1" ht="12.75">
      <c r="A44" s="87" t="s">
        <v>169</v>
      </c>
      <c r="B44" s="98">
        <f>'2b. Inputs - Assets'!C20</f>
        <v>500000</v>
      </c>
      <c r="C44" s="98"/>
      <c r="D44" s="98">
        <f>'2b. Inputs - Assets'!I20</f>
        <v>3640000</v>
      </c>
      <c r="E44" s="98"/>
      <c r="F44" s="98">
        <f>'2b. Inputs - Assets'!C20</f>
        <v>500000</v>
      </c>
      <c r="H44" s="93"/>
      <c r="P44" s="94"/>
    </row>
    <row r="45" spans="1:16" s="87" customFormat="1" ht="12.75">
      <c r="A45" s="87" t="s">
        <v>170</v>
      </c>
      <c r="B45" s="98">
        <f>'2b. Inputs - Assets'!C21</f>
        <v>200000</v>
      </c>
      <c r="C45" s="98"/>
      <c r="D45" s="98">
        <f>'2b. Inputs - Assets'!I21</f>
        <v>3640000</v>
      </c>
      <c r="E45" s="98"/>
      <c r="F45" s="98">
        <f>'2b. Inputs - Assets'!C21</f>
        <v>200000</v>
      </c>
      <c r="H45" s="93"/>
      <c r="P45" s="94"/>
    </row>
    <row r="46" spans="1:16" s="87" customFormat="1" ht="12.75">
      <c r="A46" s="95" t="s">
        <v>213</v>
      </c>
      <c r="B46" s="99">
        <f>SUM(B41:B45)</f>
        <v>19250000</v>
      </c>
      <c r="C46" s="99"/>
      <c r="D46" s="99">
        <f t="shared" ref="D46:F46" si="13">SUM(D41:D45)</f>
        <v>18473000</v>
      </c>
      <c r="E46" s="99"/>
      <c r="F46" s="99">
        <f t="shared" si="13"/>
        <v>19250000</v>
      </c>
      <c r="H46" s="93"/>
      <c r="P46" s="94"/>
    </row>
    <row r="47" spans="1:16" s="87" customFormat="1" ht="12.75">
      <c r="B47" s="98"/>
      <c r="C47" s="98"/>
      <c r="D47" s="98"/>
      <c r="E47" s="98"/>
      <c r="F47" s="98"/>
      <c r="H47" s="93"/>
    </row>
    <row r="48" spans="1:16" s="87" customFormat="1" ht="12.75">
      <c r="A48" s="96" t="s">
        <v>26</v>
      </c>
      <c r="B48" s="98"/>
      <c r="C48" s="98"/>
      <c r="D48" s="98"/>
      <c r="E48" s="98"/>
      <c r="F48" s="98"/>
      <c r="H48" s="93"/>
    </row>
    <row r="49" spans="1:10" s="87" customFormat="1" ht="12.75">
      <c r="A49" s="87" t="s">
        <v>31</v>
      </c>
      <c r="B49" s="98">
        <f>'2c. Inputs - Liabilities'!L19</f>
        <v>6189579.389724032</v>
      </c>
      <c r="C49" s="98"/>
      <c r="D49" s="98">
        <f>'2c. Inputs - Liabilities'!L19</f>
        <v>6189579.389724032</v>
      </c>
      <c r="E49" s="98"/>
      <c r="F49" s="98">
        <f>'2c. Inputs - Liabilities'!L30</f>
        <v>3096307.890909269</v>
      </c>
      <c r="H49" s="93"/>
    </row>
    <row r="50" spans="1:10" s="87" customFormat="1" ht="12.75">
      <c r="A50" s="87" t="s">
        <v>345</v>
      </c>
      <c r="B50" s="98">
        <f>'2c. Inputs - Liabilities'!L20</f>
        <v>7500000</v>
      </c>
      <c r="C50" s="98"/>
      <c r="D50" s="98">
        <f>'2c. Inputs - Liabilities'!L20</f>
        <v>7500000</v>
      </c>
      <c r="E50" s="98"/>
      <c r="F50" s="98">
        <f>'2c. Inputs - Liabilities'!L31</f>
        <v>11244486.551196819</v>
      </c>
      <c r="H50" s="93"/>
    </row>
    <row r="51" spans="1:10" s="87" customFormat="1" ht="12.75">
      <c r="A51" s="95" t="s">
        <v>243</v>
      </c>
      <c r="B51" s="99">
        <f>SUM(B49:B50)</f>
        <v>13689579.389724031</v>
      </c>
      <c r="C51" s="99"/>
      <c r="D51" s="99">
        <f t="shared" ref="D51:F51" si="14">SUM(D49:D50)</f>
        <v>13689579.389724031</v>
      </c>
      <c r="E51" s="99"/>
      <c r="F51" s="99">
        <f t="shared" si="14"/>
        <v>14340794.442106089</v>
      </c>
      <c r="H51" s="93"/>
    </row>
    <row r="52" spans="1:10" s="87" customFormat="1" ht="12.75">
      <c r="B52" s="98"/>
      <c r="C52" s="98"/>
      <c r="D52" s="98"/>
      <c r="E52" s="98"/>
      <c r="F52" s="98"/>
      <c r="H52" s="93"/>
    </row>
    <row r="53" spans="1:10" s="87" customFormat="1" ht="12.75">
      <c r="A53" s="95" t="s">
        <v>244</v>
      </c>
      <c r="B53" s="98"/>
      <c r="C53" s="98"/>
      <c r="D53" s="98"/>
      <c r="E53" s="98"/>
      <c r="F53" s="98"/>
    </row>
    <row r="54" spans="1:10" s="87" customFormat="1" ht="12.75">
      <c r="A54" s="87" t="s">
        <v>245</v>
      </c>
      <c r="B54" s="98">
        <f>B60</f>
        <v>2197169.0872948472</v>
      </c>
      <c r="C54" s="98"/>
      <c r="D54" s="98">
        <f>D60</f>
        <v>6601260.7150921449</v>
      </c>
      <c r="E54" s="98"/>
      <c r="F54" s="98">
        <f>F60</f>
        <v>1438550.9769270248</v>
      </c>
    </row>
    <row r="55" spans="1:10" s="87" customFormat="1" ht="12.75">
      <c r="A55" s="87" t="s">
        <v>246</v>
      </c>
      <c r="B55" s="98">
        <f>B56-B54</f>
        <v>3363251.5229811217</v>
      </c>
      <c r="C55" s="98"/>
      <c r="D55" s="98">
        <f>D56-D54</f>
        <v>-1817840.104816176</v>
      </c>
      <c r="E55" s="98"/>
      <c r="F55" s="98">
        <f>F56-F54</f>
        <v>3470654.5809668866</v>
      </c>
    </row>
    <row r="56" spans="1:10" s="87" customFormat="1" ht="12.75">
      <c r="A56" s="95" t="s">
        <v>393</v>
      </c>
      <c r="B56" s="99">
        <f>B46-B51</f>
        <v>5560420.6102759689</v>
      </c>
      <c r="C56" s="99"/>
      <c r="D56" s="99">
        <f>D46-D51</f>
        <v>4783420.6102759689</v>
      </c>
      <c r="E56" s="98"/>
      <c r="F56" s="99">
        <f>F46-F51</f>
        <v>4909205.5578939114</v>
      </c>
    </row>
    <row r="57" spans="1:10" s="87" customFormat="1" ht="12.75">
      <c r="A57" s="95"/>
      <c r="B57" s="99"/>
      <c r="C57" s="99"/>
      <c r="D57" s="99"/>
      <c r="E57" s="98"/>
      <c r="F57" s="98"/>
    </row>
    <row r="58" spans="1:10" s="87" customFormat="1" ht="12.75">
      <c r="A58" s="95" t="s">
        <v>492</v>
      </c>
      <c r="B58" s="98">
        <f>SUM(B8:B12)</f>
        <v>1830974.2394123727</v>
      </c>
      <c r="C58" s="98"/>
      <c r="D58" s="98">
        <f>SUM(D8:D12)</f>
        <v>5501050.5959101208</v>
      </c>
      <c r="E58" s="98"/>
      <c r="F58" s="98">
        <f>SUM(F8:F12)</f>
        <v>1198792.4807725206</v>
      </c>
      <c r="G58" s="87" t="s">
        <v>496</v>
      </c>
      <c r="H58" s="93"/>
      <c r="J58" s="93"/>
    </row>
    <row r="59" spans="1:10" s="87" customFormat="1" ht="12.75">
      <c r="A59" s="95" t="s">
        <v>495</v>
      </c>
      <c r="B59" s="97">
        <f>B56/B58</f>
        <v>3.0368644684266632</v>
      </c>
      <c r="C59" s="97"/>
      <c r="D59" s="97">
        <f>D56/D58</f>
        <v>0.86954673964138962</v>
      </c>
      <c r="E59" s="97"/>
      <c r="F59" s="97">
        <f>F56/F58</f>
        <v>4.0951254171450442</v>
      </c>
      <c r="H59" s="93"/>
    </row>
    <row r="60" spans="1:10" s="87" customFormat="1" ht="12.75">
      <c r="A60" s="95" t="s">
        <v>493</v>
      </c>
      <c r="B60" s="89">
        <f>1.2*B58</f>
        <v>2197169.0872948472</v>
      </c>
      <c r="C60" s="89"/>
      <c r="D60" s="89">
        <f t="shared" ref="D60:F60" si="15">1.2*D58</f>
        <v>6601260.7150921449</v>
      </c>
      <c r="E60" s="89"/>
      <c r="F60" s="89">
        <f t="shared" si="15"/>
        <v>1438550.9769270248</v>
      </c>
      <c r="H60" s="93"/>
    </row>
    <row r="61" spans="1:10" s="87" customFormat="1" ht="12.75">
      <c r="A61" s="95" t="s">
        <v>494</v>
      </c>
      <c r="B61" s="97">
        <f>B56/B60</f>
        <v>2.5307203903555524</v>
      </c>
      <c r="D61" s="97">
        <f>D56/D60</f>
        <v>0.72462228303449139</v>
      </c>
      <c r="F61" s="97">
        <f>F56/F60</f>
        <v>3.412604514287537</v>
      </c>
    </row>
    <row r="62" spans="1:10" s="87" customFormat="1" ht="12.75"/>
    <row r="63" spans="1:10" s="87" customFormat="1" ht="12.75"/>
    <row r="64" spans="1:10" s="87" customFormat="1" ht="12.75"/>
    <row r="65" s="87" customFormat="1" ht="12.75"/>
    <row r="66" s="87" customFormat="1" ht="12.75"/>
    <row r="67" s="87" customFormat="1" ht="12.75"/>
    <row r="68" s="87" customFormat="1" ht="12.75"/>
    <row r="69" s="87" customFormat="1" ht="12.75"/>
    <row r="70" s="87" customFormat="1" ht="12.75"/>
    <row r="71" s="87" customFormat="1" ht="12.75"/>
    <row r="72" s="87" customFormat="1" ht="12.75"/>
    <row r="73" s="87" customFormat="1" ht="12.75"/>
    <row r="74" s="87" customFormat="1" ht="12.75"/>
    <row r="75" s="87" customFormat="1" ht="12.75"/>
    <row r="76" s="87" customFormat="1" ht="12.75"/>
    <row r="77" s="87" customFormat="1" ht="12.75"/>
    <row r="78" s="87" customFormat="1" ht="12.75"/>
    <row r="79" s="87" customFormat="1" ht="12.75"/>
    <row r="80" s="87" customFormat="1" ht="12.75"/>
    <row r="81" s="87" customFormat="1" ht="12.75"/>
    <row r="82" s="87" customFormat="1" ht="12.75"/>
    <row r="83" s="87" customFormat="1" ht="12.75"/>
    <row r="84" s="87" customFormat="1" ht="12.75"/>
    <row r="85" s="87" customFormat="1" ht="12.75"/>
    <row r="86" s="87" customFormat="1" ht="12.75"/>
    <row r="87" s="87" customFormat="1" ht="12.75"/>
    <row r="88" s="87" customFormat="1" ht="12.75"/>
    <row r="89" s="87" customFormat="1" ht="12.75"/>
    <row r="90" s="87" customFormat="1" ht="12.75"/>
    <row r="91" s="87" customFormat="1" ht="12.75"/>
    <row r="92" s="87" customFormat="1" ht="12.75"/>
    <row r="93" s="87" customFormat="1" ht="12.75"/>
    <row r="94" s="87" customFormat="1" ht="12.75"/>
    <row r="95" s="87" customFormat="1" ht="12.75"/>
    <row r="96" s="87" customFormat="1" ht="12.75"/>
    <row r="97" s="87" customFormat="1" ht="12.75"/>
    <row r="98" s="87" customFormat="1" ht="12.75"/>
    <row r="99" s="87" customFormat="1" ht="12.75"/>
    <row r="100" s="87" customFormat="1" ht="12.75"/>
    <row r="101" s="87" customFormat="1" ht="12.75"/>
    <row r="102" s="87" customFormat="1" ht="12.75"/>
    <row r="103" s="87" customFormat="1" ht="12.75"/>
    <row r="104" s="87" customFormat="1" ht="12.75"/>
    <row r="105" s="87" customFormat="1" ht="12.75"/>
    <row r="106" s="87" customFormat="1" ht="12.75"/>
    <row r="107" s="87" customFormat="1" ht="12.75"/>
    <row r="108" s="87" customFormat="1" ht="12.75"/>
    <row r="109" s="87" customFormat="1" ht="12.75"/>
    <row r="110" s="87" customFormat="1" ht="12.75"/>
    <row r="111" s="87" customFormat="1" ht="12.75"/>
    <row r="112" s="87" customFormat="1" ht="12.75"/>
    <row r="113" s="87" customFormat="1" ht="12.75"/>
    <row r="114" s="87" customFormat="1" ht="12.75"/>
    <row r="115" s="87" customFormat="1" ht="12.75"/>
    <row r="116" s="87" customFormat="1" ht="12.75"/>
    <row r="117" s="87" customFormat="1" ht="12.75"/>
    <row r="118" s="87" customFormat="1" ht="12.75"/>
    <row r="119" s="87" customFormat="1" ht="12.75"/>
    <row r="120" s="87" customFormat="1" ht="12.75"/>
    <row r="121" s="87" customFormat="1" ht="12.75"/>
    <row r="122" s="87" customFormat="1" ht="12.75"/>
    <row r="123" s="87" customFormat="1" ht="12.75"/>
    <row r="124" s="87" customFormat="1" ht="12.75"/>
    <row r="125" s="87" customFormat="1" ht="12.75"/>
    <row r="126" s="87" customFormat="1" ht="12.75"/>
    <row r="127" s="87" customFormat="1" ht="12.75"/>
    <row r="128" s="87" customFormat="1" ht="12.75"/>
    <row r="129" s="87" customFormat="1" ht="12.75"/>
    <row r="130" s="87" customFormat="1" ht="12.75"/>
    <row r="131" s="87" customFormat="1" ht="12.75"/>
    <row r="132" s="87" customFormat="1" ht="12.75"/>
    <row r="133" s="87" customFormat="1" ht="12.75"/>
    <row r="134" s="87" customFormat="1" ht="12.75"/>
    <row r="135" s="87" customFormat="1" ht="12.75"/>
    <row r="136" s="87" customFormat="1" ht="12.75"/>
    <row r="137" s="87" customFormat="1" ht="12.75"/>
    <row r="138" s="87" customFormat="1" ht="12.75"/>
    <row r="139" s="87" customFormat="1" ht="12.75"/>
    <row r="140" s="87" customFormat="1" ht="12.75"/>
    <row r="141" s="87" customFormat="1" ht="12.75"/>
    <row r="142" s="87" customFormat="1" ht="12.75"/>
    <row r="143" s="87" customFormat="1" ht="12.75"/>
    <row r="144" s="87" customFormat="1" ht="12.75"/>
    <row r="145" s="87" customFormat="1" ht="12.75"/>
    <row r="146" s="87" customFormat="1" ht="12.75"/>
    <row r="147" s="87" customFormat="1" ht="12.75"/>
    <row r="148" s="87" customFormat="1" ht="12.75"/>
    <row r="149" s="87" customFormat="1" ht="12.75"/>
  </sheetData>
  <phoneticPr fontId="18" type="noConversion"/>
  <pageMargins left="0.7" right="0.7" top="0.75" bottom="0.75" header="0.3" footer="0.3"/>
  <pageSetup orientation="portrait" horizontalDpi="300" verticalDpi="30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80C0C-9093-4C8E-9AC5-8E4233F322A1}">
  <sheetPr codeName="Sheet10">
    <tabColor rgb="FF002060"/>
  </sheetPr>
  <dimension ref="A1:P55"/>
  <sheetViews>
    <sheetView showGridLines="0" zoomScaleNormal="85" workbookViewId="0"/>
  </sheetViews>
  <sheetFormatPr defaultRowHeight="15"/>
  <cols>
    <col min="1" max="1" width="12.42578125" customWidth="1"/>
    <col min="2" max="2" width="26.5703125" bestFit="1" customWidth="1"/>
    <col min="3" max="3" width="11.42578125" customWidth="1"/>
    <col min="4" max="4" width="10.5703125" bestFit="1" customWidth="1"/>
    <col min="5" max="5" width="10.5703125" customWidth="1"/>
    <col min="6" max="6" width="11.85546875" customWidth="1"/>
    <col min="7" max="7" width="10.5703125" bestFit="1" customWidth="1"/>
    <col min="8" max="9" width="9.5703125" bestFit="1" customWidth="1"/>
    <col min="10" max="10" width="14.85546875" bestFit="1" customWidth="1"/>
    <col min="11" max="11" width="14.5703125" customWidth="1"/>
    <col min="12" max="12" width="15.28515625" customWidth="1"/>
    <col min="13" max="13" width="13.5703125" customWidth="1"/>
    <col min="14" max="14" width="27.5703125" bestFit="1" customWidth="1"/>
  </cols>
  <sheetData>
    <row r="1" spans="1:15">
      <c r="A1" s="3" t="s">
        <v>448</v>
      </c>
      <c r="B1" s="4"/>
      <c r="C1" s="4"/>
      <c r="D1" s="4"/>
      <c r="E1" s="4"/>
      <c r="F1" s="4"/>
      <c r="G1" s="4"/>
      <c r="H1" s="4"/>
      <c r="I1" s="4"/>
      <c r="J1" s="4"/>
      <c r="K1" s="4"/>
      <c r="L1" s="4"/>
      <c r="M1" s="4"/>
      <c r="N1" s="4"/>
      <c r="O1" s="4"/>
    </row>
    <row r="2" spans="1:15">
      <c r="A2" s="1" t="s">
        <v>512</v>
      </c>
    </row>
    <row r="3" spans="1:15" ht="15.75" thickBot="1">
      <c r="A3" s="5" t="s">
        <v>346</v>
      </c>
      <c r="B3" s="6"/>
      <c r="C3" s="37"/>
      <c r="D3" s="37"/>
      <c r="E3" s="37"/>
      <c r="F3" s="37"/>
      <c r="G3" s="37"/>
      <c r="H3" s="37"/>
      <c r="I3" s="6"/>
      <c r="J3" s="6"/>
      <c r="K3" s="6"/>
      <c r="L3" s="6"/>
      <c r="M3" s="6"/>
      <c r="N3" s="6"/>
      <c r="O3" s="6"/>
    </row>
    <row r="4" spans="1:15">
      <c r="A4" s="1"/>
    </row>
    <row r="5" spans="1:15" ht="15.75" thickBot="1">
      <c r="A5" s="1" t="s">
        <v>86</v>
      </c>
    </row>
    <row r="6" spans="1:15">
      <c r="A6" s="254"/>
      <c r="B6" s="251"/>
      <c r="C6" s="365" t="s">
        <v>163</v>
      </c>
      <c r="D6" s="365"/>
      <c r="E6" s="365"/>
      <c r="F6" s="365" t="s">
        <v>162</v>
      </c>
      <c r="G6" s="365"/>
      <c r="H6" s="365"/>
      <c r="I6" s="365" t="s">
        <v>347</v>
      </c>
      <c r="J6" s="365"/>
      <c r="K6" s="365"/>
      <c r="L6" s="250" t="s">
        <v>34</v>
      </c>
      <c r="M6" s="250" t="s">
        <v>347</v>
      </c>
      <c r="N6" s="255"/>
    </row>
    <row r="7" spans="1:15">
      <c r="A7" s="256" t="s">
        <v>348</v>
      </c>
      <c r="B7" s="252" t="s">
        <v>349</v>
      </c>
      <c r="C7" s="253" t="s">
        <v>18</v>
      </c>
      <c r="D7" s="253" t="s">
        <v>26</v>
      </c>
      <c r="E7" s="253" t="s">
        <v>347</v>
      </c>
      <c r="F7" s="253" t="s">
        <v>18</v>
      </c>
      <c r="G7" s="253" t="s">
        <v>26</v>
      </c>
      <c r="H7" s="253" t="s">
        <v>347</v>
      </c>
      <c r="I7" s="253" t="s">
        <v>217</v>
      </c>
      <c r="J7" s="253" t="s">
        <v>350</v>
      </c>
      <c r="K7" s="253" t="s">
        <v>245</v>
      </c>
      <c r="L7" s="253" t="s">
        <v>351</v>
      </c>
      <c r="M7" s="253" t="s">
        <v>543</v>
      </c>
      <c r="N7" s="257" t="s">
        <v>353</v>
      </c>
    </row>
    <row r="8" spans="1:15" ht="15.75" thickBot="1">
      <c r="A8" s="258" t="s">
        <v>446</v>
      </c>
      <c r="B8" s="124" t="s">
        <v>354</v>
      </c>
      <c r="C8" s="234">
        <f>'2b. Inputs - Assets'!C22</f>
        <v>19250000</v>
      </c>
      <c r="D8" s="234" t="s">
        <v>130</v>
      </c>
      <c r="E8" s="234" t="s">
        <v>130</v>
      </c>
      <c r="F8" s="234">
        <f>'2b. Inputs - Assets'!B22</f>
        <v>18200000</v>
      </c>
      <c r="G8" s="234">
        <f>'2c. Inputs - Liabilities'!H21</f>
        <v>14243016.298182636</v>
      </c>
      <c r="H8" s="234">
        <f>F8-G8</f>
        <v>3956983.7018173635</v>
      </c>
      <c r="I8" s="234" t="s">
        <v>130</v>
      </c>
      <c r="J8" s="234">
        <f>'3a. US'!B31</f>
        <v>3941983.7018173635</v>
      </c>
      <c r="K8" s="234">
        <f>'3a. US'!D20</f>
        <v>932028</v>
      </c>
      <c r="L8" s="234" t="s">
        <v>130</v>
      </c>
      <c r="M8" s="248">
        <f>'3a. US'!B33</f>
        <v>4.2294691809874418</v>
      </c>
      <c r="N8" s="259" t="str">
        <f>IF(M8&lt;70%, "Company Under Regulatory Control", IF(M8&lt;100%, "Regulator Authorized to Take Action Necessary to Protect Stakeholders", IF(M8&lt;150%, "Company Must Submit/Revise RBC Plan &amp; Regulator Will Issue Order of Corrective Action", IF(M8&lt;200%, "Company Must Submit RBC Plan", IF( M8&lt;250%, "Company Must Perform Trend Test", "No Action Required")))))</f>
        <v>No Action Required</v>
      </c>
    </row>
    <row r="9" spans="1:15" ht="15.75" thickBot="1">
      <c r="A9" s="260" t="s">
        <v>3</v>
      </c>
      <c r="B9" s="125" t="s">
        <v>355</v>
      </c>
      <c r="C9" s="235">
        <f>C8</f>
        <v>19250000</v>
      </c>
      <c r="D9" s="235" t="s">
        <v>130</v>
      </c>
      <c r="E9" s="235" t="s">
        <v>130</v>
      </c>
      <c r="F9" s="235">
        <f>'3b. Canada'!B98</f>
        <v>18200000</v>
      </c>
      <c r="G9" s="235">
        <f>'2c. Inputs - Liabilities'!H21</f>
        <v>14243016.298182636</v>
      </c>
      <c r="H9" s="235">
        <f>F9-G9</f>
        <v>3956983.7018173635</v>
      </c>
      <c r="I9" s="235">
        <f>SUM('3b. Canada'!B81:B83)</f>
        <v>6000000</v>
      </c>
      <c r="J9" s="235">
        <f>'3b. Canada'!B81+'2a.ii Inputs - Canada Factors'!$B$6*SUM('3b. Canada'!B82:B83)</f>
        <v>5700000</v>
      </c>
      <c r="K9" s="235">
        <f>'3b. Canada'!B43</f>
        <v>4316917.3768511172</v>
      </c>
      <c r="L9" s="249">
        <f>I9/K9</f>
        <v>1.3898806662768632</v>
      </c>
      <c r="M9" s="249">
        <f>J9/K9</f>
        <v>1.3203866329630203</v>
      </c>
      <c r="N9" s="261" t="str">
        <f>IF(OR(L9&lt;90%,M9&lt;55%),"Below Minimum Ratio",IF(OR(L9&lt;100%,M9&lt;70%),"OFSI Early Intervention Process", "No Action Required"))</f>
        <v>No Action Required</v>
      </c>
    </row>
    <row r="10" spans="1:15" ht="15.75" thickBot="1">
      <c r="A10" s="258" t="s">
        <v>0</v>
      </c>
      <c r="B10" s="124" t="s">
        <v>47</v>
      </c>
      <c r="C10" s="234">
        <f>C8</f>
        <v>19250000</v>
      </c>
      <c r="D10" s="234">
        <f>'2c. Inputs - Liabilities'!L21</f>
        <v>13689579.389724031</v>
      </c>
      <c r="E10" s="234">
        <f>C10-D10</f>
        <v>5560420.6102759689</v>
      </c>
      <c r="F10" s="234" t="s">
        <v>130</v>
      </c>
      <c r="G10" s="234" t="s">
        <v>130</v>
      </c>
      <c r="H10" s="234" t="s">
        <v>130</v>
      </c>
      <c r="I10" s="234" t="s">
        <v>130</v>
      </c>
      <c r="J10" s="234">
        <f>E10</f>
        <v>5560420.6102759689</v>
      </c>
      <c r="K10" s="234">
        <f>'3c. Europe'!B43</f>
        <v>2942183.6393018835</v>
      </c>
      <c r="L10" s="234" t="s">
        <v>130</v>
      </c>
      <c r="M10" s="248">
        <f>'3c. Europe'!B46</f>
        <v>1.8898958365478968</v>
      </c>
      <c r="N10" s="259" t="str">
        <f>IF(M10&lt;25%, "Below Minumum Ratio, Company Loses Authorization", IF(M10&lt;45%, "Supervisory Actions Taken", "No Action Required"))</f>
        <v>No Action Required</v>
      </c>
    </row>
    <row r="11" spans="1:15" ht="15.75" thickBot="1">
      <c r="A11" s="262" t="s">
        <v>4</v>
      </c>
      <c r="B11" s="263" t="s">
        <v>356</v>
      </c>
      <c r="C11" s="264">
        <f>'3d. Bermuda'!B46</f>
        <v>19250000</v>
      </c>
      <c r="D11" s="264">
        <f>'2c. Inputs - Liabilities'!L21</f>
        <v>13689579.389724031</v>
      </c>
      <c r="E11" s="264">
        <f>C11-D11</f>
        <v>5560420.6102759689</v>
      </c>
      <c r="F11" s="264" t="s">
        <v>130</v>
      </c>
      <c r="G11" s="264" t="s">
        <v>130</v>
      </c>
      <c r="H11" s="264" t="s">
        <v>130</v>
      </c>
      <c r="I11" s="264" t="s">
        <v>130</v>
      </c>
      <c r="J11" s="264">
        <f>E11</f>
        <v>5560420.6102759689</v>
      </c>
      <c r="K11" s="264">
        <f>'3d. Bermuda'!B60</f>
        <v>2197169.0872948472</v>
      </c>
      <c r="L11" s="265" t="s">
        <v>130</v>
      </c>
      <c r="M11" s="265">
        <f>'3d. Bermuda'!B61</f>
        <v>2.5307203903555524</v>
      </c>
      <c r="N11" s="266" t="str">
        <f>IF(M11&lt;100%, "Below Minimum Ratio", IF(M11 &lt; 120%, "Company Must Submit Plan To Improve Ratio and Submit to Enhanced Monitoring and Additional Reporting Requirements", "No Action Required"))</f>
        <v>No Action Required</v>
      </c>
    </row>
    <row r="12" spans="1:15">
      <c r="A12" s="62" t="s">
        <v>392</v>
      </c>
    </row>
    <row r="14" spans="1:15" ht="15.75" thickBot="1">
      <c r="A14" s="1" t="s">
        <v>87</v>
      </c>
    </row>
    <row r="15" spans="1:15">
      <c r="A15" s="254"/>
      <c r="B15" s="251"/>
      <c r="C15" s="365" t="s">
        <v>163</v>
      </c>
      <c r="D15" s="365"/>
      <c r="E15" s="365"/>
      <c r="F15" s="365" t="s">
        <v>162</v>
      </c>
      <c r="G15" s="365"/>
      <c r="H15" s="365"/>
      <c r="I15" s="365" t="s">
        <v>347</v>
      </c>
      <c r="J15" s="365"/>
      <c r="K15" s="365"/>
      <c r="L15" s="250" t="s">
        <v>34</v>
      </c>
      <c r="M15" s="250" t="s">
        <v>347</v>
      </c>
      <c r="N15" s="255"/>
    </row>
    <row r="16" spans="1:15" ht="17.25">
      <c r="A16" s="256" t="s">
        <v>348</v>
      </c>
      <c r="B16" s="252" t="s">
        <v>349</v>
      </c>
      <c r="C16" s="253" t="s">
        <v>18</v>
      </c>
      <c r="D16" s="253" t="s">
        <v>26</v>
      </c>
      <c r="E16" s="253" t="s">
        <v>347</v>
      </c>
      <c r="F16" s="253" t="s">
        <v>18</v>
      </c>
      <c r="G16" s="253" t="s">
        <v>26</v>
      </c>
      <c r="H16" s="253" t="s">
        <v>347</v>
      </c>
      <c r="I16" s="253" t="s">
        <v>217</v>
      </c>
      <c r="J16" s="253" t="s">
        <v>350</v>
      </c>
      <c r="K16" s="253" t="s">
        <v>245</v>
      </c>
      <c r="L16" s="253" t="s">
        <v>351</v>
      </c>
      <c r="M16" s="253" t="s">
        <v>352</v>
      </c>
      <c r="N16" s="257" t="s">
        <v>353</v>
      </c>
    </row>
    <row r="17" spans="1:16" ht="15.75" thickBot="1">
      <c r="A17" s="258" t="s">
        <v>446</v>
      </c>
      <c r="B17" s="124" t="s">
        <v>354</v>
      </c>
      <c r="C17" s="234">
        <f>'2b. Inputs - Assets'!I22</f>
        <v>18473000</v>
      </c>
      <c r="D17" s="234" t="s">
        <v>130</v>
      </c>
      <c r="E17" s="234" t="s">
        <v>130</v>
      </c>
      <c r="F17" s="234">
        <f>'2b. Inputs - Assets'!H22</f>
        <v>18200000</v>
      </c>
      <c r="G17" s="234">
        <f>'2c. Inputs - Liabilities'!H21</f>
        <v>14243016.298182636</v>
      </c>
      <c r="H17" s="234">
        <f>F17-G17</f>
        <v>3956983.7018173635</v>
      </c>
      <c r="I17" s="234" t="s">
        <v>130</v>
      </c>
      <c r="J17" s="234">
        <f>'3a. US'!F31</f>
        <v>3941983.7018173635</v>
      </c>
      <c r="K17" s="234">
        <f>'3a. US'!H20</f>
        <v>2200597</v>
      </c>
      <c r="L17" s="234" t="s">
        <v>130</v>
      </c>
      <c r="M17" s="248">
        <f>'3a. US'!F33</f>
        <v>1.7913246731761261</v>
      </c>
      <c r="N17" s="259" t="str">
        <f>IF(M17&lt;70%, "Company Under Regulatory Control", IF(M17&lt;100%, "Regulator Authorized to Take Action Necessary to Protect Stakeholders", IF(M17&lt;150%, "Company Must Submit/Revise RBC Plan &amp; Regulator Will Issue Order of Corrective Action", IF(M17&lt;200%, "Company Must Submit RBC Plan", IF( M17&lt;250%, "Company Must Perform Trend Test", "No Action Required")))))</f>
        <v>Company Must Submit RBC Plan</v>
      </c>
    </row>
    <row r="18" spans="1:16" ht="15.75" thickBot="1">
      <c r="A18" s="260" t="s">
        <v>3</v>
      </c>
      <c r="B18" s="125" t="s">
        <v>355</v>
      </c>
      <c r="C18" s="235">
        <f>C17</f>
        <v>18473000</v>
      </c>
      <c r="D18" s="235" t="s">
        <v>130</v>
      </c>
      <c r="E18" s="235" t="s">
        <v>130</v>
      </c>
      <c r="F18" s="235">
        <f>'2b. Inputs - Assets'!H22</f>
        <v>18200000</v>
      </c>
      <c r="G18" s="235">
        <f>'2c. Inputs - Liabilities'!H21</f>
        <v>14243016.298182636</v>
      </c>
      <c r="H18" s="235">
        <f>F18-G18</f>
        <v>3956983.7018173635</v>
      </c>
      <c r="I18" s="235">
        <f>SUM('3b. Canada'!N81:N83)</f>
        <v>6200000</v>
      </c>
      <c r="J18" s="235">
        <f>'3b. Canada'!N81+'2a.ii Inputs - Canada Factors'!$B$6*SUM('3b. Canada'!N82:N83)</f>
        <v>5840000</v>
      </c>
      <c r="K18" s="235">
        <f>'3b. Canada'!N43</f>
        <v>7540758.92630844</v>
      </c>
      <c r="L18" s="249">
        <f>I18/K18</f>
        <v>0.82219841007902306</v>
      </c>
      <c r="M18" s="249">
        <f>J18/K18</f>
        <v>0.77445785723572491</v>
      </c>
      <c r="N18" s="261" t="str">
        <f>IF(OR(L18&lt;90%,M18&lt;55%),"Below Minimum Ratio",IF(OR(L18&lt;100%,M18&lt;70%),"OFSI Early Intervention Process", "No Action Required"))</f>
        <v>Below Minimum Ratio</v>
      </c>
    </row>
    <row r="19" spans="1:16" ht="15.75" thickBot="1">
      <c r="A19" s="258" t="s">
        <v>0</v>
      </c>
      <c r="B19" s="124" t="s">
        <v>47</v>
      </c>
      <c r="C19" s="234">
        <f>C17</f>
        <v>18473000</v>
      </c>
      <c r="D19" s="234">
        <f>'2c. Inputs - Liabilities'!L21</f>
        <v>13689579.389724031</v>
      </c>
      <c r="E19" s="234">
        <f>C19-D19</f>
        <v>4783420.6102759689</v>
      </c>
      <c r="F19" s="234" t="s">
        <v>130</v>
      </c>
      <c r="G19" s="234" t="s">
        <v>130</v>
      </c>
      <c r="H19" s="234" t="s">
        <v>130</v>
      </c>
      <c r="I19" s="234" t="s">
        <v>130</v>
      </c>
      <c r="J19" s="234">
        <f>E19</f>
        <v>4783420.6102759689</v>
      </c>
      <c r="K19" s="234">
        <f>'3c. Europe'!D6</f>
        <v>6419333.0540909683</v>
      </c>
      <c r="L19" s="234" t="s">
        <v>130</v>
      </c>
      <c r="M19" s="248">
        <f>'3c. Europe'!D46</f>
        <v>0.74515850322293986</v>
      </c>
      <c r="N19" s="259" t="str">
        <f>IF(M19&lt;25%, "Below Minumum Ratio, Company Loses Authorization", IF(M19&lt;45%, "Supervisory Actions Taken", "No Action Required"))</f>
        <v>No Action Required</v>
      </c>
    </row>
    <row r="20" spans="1:16" ht="15.75" thickBot="1">
      <c r="A20" s="262" t="s">
        <v>4</v>
      </c>
      <c r="B20" s="263" t="s">
        <v>356</v>
      </c>
      <c r="C20" s="264">
        <f>'2b. Inputs - Assets'!I22</f>
        <v>18473000</v>
      </c>
      <c r="D20" s="264">
        <f>'2c. Inputs - Liabilities'!L21</f>
        <v>13689579.389724031</v>
      </c>
      <c r="E20" s="264">
        <f>C20-D20</f>
        <v>4783420.6102759689</v>
      </c>
      <c r="F20" s="264" t="s">
        <v>130</v>
      </c>
      <c r="G20" s="264" t="s">
        <v>130</v>
      </c>
      <c r="H20" s="264" t="s">
        <v>130</v>
      </c>
      <c r="I20" s="264" t="s">
        <v>130</v>
      </c>
      <c r="J20" s="264">
        <f>E20</f>
        <v>4783420.6102759689</v>
      </c>
      <c r="K20" s="264">
        <f>'3d. Bermuda'!D60</f>
        <v>6601260.7150921449</v>
      </c>
      <c r="L20" s="265" t="s">
        <v>130</v>
      </c>
      <c r="M20" s="265">
        <f>'3d. Bermuda'!D61</f>
        <v>0.72462228303449139</v>
      </c>
      <c r="N20" s="266" t="str">
        <f>IF(M20&lt;100%, "Below Minimum Ratio", IF(M20 &lt; 120%, "Company Must Submit Plan To Improve Ratio and Submit to Enhanced Monitoring and Additional Reporting Requirements", "No Action Required"))</f>
        <v>Below Minimum Ratio</v>
      </c>
    </row>
    <row r="21" spans="1:16">
      <c r="A21" s="62" t="s">
        <v>392</v>
      </c>
    </row>
    <row r="23" spans="1:16" ht="15.75" thickBot="1">
      <c r="A23" s="1" t="s">
        <v>357</v>
      </c>
    </row>
    <row r="24" spans="1:16">
      <c r="A24" s="254"/>
      <c r="B24" s="251"/>
      <c r="C24" s="365" t="s">
        <v>163</v>
      </c>
      <c r="D24" s="365"/>
      <c r="E24" s="365"/>
      <c r="F24" s="365" t="s">
        <v>162</v>
      </c>
      <c r="G24" s="365"/>
      <c r="H24" s="365"/>
      <c r="I24" s="365" t="s">
        <v>347</v>
      </c>
      <c r="J24" s="365"/>
      <c r="K24" s="365"/>
      <c r="L24" s="250" t="s">
        <v>34</v>
      </c>
      <c r="M24" s="250" t="s">
        <v>347</v>
      </c>
      <c r="N24" s="255"/>
    </row>
    <row r="25" spans="1:16" ht="17.25">
      <c r="A25" s="256" t="s">
        <v>348</v>
      </c>
      <c r="B25" s="252" t="s">
        <v>349</v>
      </c>
      <c r="C25" s="253" t="s">
        <v>18</v>
      </c>
      <c r="D25" s="253" t="s">
        <v>26</v>
      </c>
      <c r="E25" s="253" t="s">
        <v>347</v>
      </c>
      <c r="F25" s="253" t="s">
        <v>18</v>
      </c>
      <c r="G25" s="253" t="s">
        <v>26</v>
      </c>
      <c r="H25" s="253" t="s">
        <v>347</v>
      </c>
      <c r="I25" s="253" t="s">
        <v>217</v>
      </c>
      <c r="J25" s="253" t="s">
        <v>350</v>
      </c>
      <c r="K25" s="253" t="s">
        <v>245</v>
      </c>
      <c r="L25" s="253" t="s">
        <v>351</v>
      </c>
      <c r="M25" s="253" t="s">
        <v>352</v>
      </c>
      <c r="N25" s="257" t="s">
        <v>353</v>
      </c>
    </row>
    <row r="26" spans="1:16" ht="15.75" thickBot="1">
      <c r="A26" s="258" t="s">
        <v>446</v>
      </c>
      <c r="B26" s="124" t="s">
        <v>354</v>
      </c>
      <c r="C26" s="234">
        <f>'2b. Inputs - Assets'!C22</f>
        <v>19250000</v>
      </c>
      <c r="D26" s="234" t="s">
        <v>130</v>
      </c>
      <c r="E26" s="234" t="s">
        <v>130</v>
      </c>
      <c r="F26" s="234">
        <f>'2b. Inputs - Assets'!B22</f>
        <v>18200000</v>
      </c>
      <c r="G26" s="234">
        <f>'2c. Inputs - Liabilities'!H32</f>
        <v>14243016.298182636</v>
      </c>
      <c r="H26" s="234">
        <f>F26-G26</f>
        <v>3956983.7018173635</v>
      </c>
      <c r="I26" s="234" t="s">
        <v>130</v>
      </c>
      <c r="J26" s="234">
        <f>'3a. US'!J31</f>
        <v>3941983.7018173635</v>
      </c>
      <c r="K26" s="234">
        <f>'3a. US'!L20</f>
        <v>732895</v>
      </c>
      <c r="L26" s="234" t="s">
        <v>130</v>
      </c>
      <c r="M26" s="248">
        <f>'3a. US'!J33</f>
        <v>5.3786472848325664</v>
      </c>
      <c r="N26" s="259" t="str">
        <f>IF(M26&lt;70%, "Company Under Regulatory Control", IF(M26&lt;100%, "Regulator Authorized to Take Action Necessary to Protect Stakeholders", IF(M26&lt;150%, "Company Must Submit/Revise RBC Plan &amp; Regulator Will Issue Order of Corrective Action", IF(M26&lt;200%, "Company Must Submit RBC Plan", IF( M26&lt;250%, "Company Must Perform Trend Test", "No Action Required")))))</f>
        <v>No Action Required</v>
      </c>
      <c r="O26" s="9"/>
      <c r="P26" s="2"/>
    </row>
    <row r="27" spans="1:16" ht="15.75" thickBot="1">
      <c r="A27" s="260" t="s">
        <v>3</v>
      </c>
      <c r="B27" s="125" t="s">
        <v>355</v>
      </c>
      <c r="C27" s="235">
        <f>C26</f>
        <v>19250000</v>
      </c>
      <c r="D27" s="235" t="s">
        <v>130</v>
      </c>
      <c r="E27" s="235" t="s">
        <v>130</v>
      </c>
      <c r="F27" s="235">
        <f>'2b. Inputs - Assets'!B22</f>
        <v>18200000</v>
      </c>
      <c r="G27" s="235">
        <f>'2c. Inputs - Liabilities'!H32</f>
        <v>14243016.298182636</v>
      </c>
      <c r="H27" s="235">
        <f>F27-G27</f>
        <v>3956983.7018173635</v>
      </c>
      <c r="I27" s="235">
        <f>SUM('3b. Canada'!X81:X83)</f>
        <v>6200000</v>
      </c>
      <c r="J27" s="235">
        <f>'3b. Canada'!X81+'2a.ii Inputs - Canada Factors'!$B$6*SUM('3b. Canada'!X82:X83)</f>
        <v>5840000</v>
      </c>
      <c r="K27" s="235">
        <f>'3b. Canada'!X43</f>
        <v>2070581.098719744</v>
      </c>
      <c r="L27" s="249">
        <f>I27/K27</f>
        <v>2.994328502193663</v>
      </c>
      <c r="M27" s="249">
        <f>J27/K27</f>
        <v>2.8204642665824178</v>
      </c>
      <c r="N27" s="261" t="str">
        <f>IF(OR(L27&lt;90%,M27&lt;55%),"Below Minimum Ratio",IF(OR(L27&lt;100%,M27&lt;70%),"OFSI Early Intervention Process", "No Action Required"))</f>
        <v>No Action Required</v>
      </c>
      <c r="O27" s="9"/>
      <c r="P27" s="2"/>
    </row>
    <row r="28" spans="1:16" ht="15.75" thickBot="1">
      <c r="A28" s="258" t="s">
        <v>0</v>
      </c>
      <c r="B28" s="124" t="s">
        <v>47</v>
      </c>
      <c r="C28" s="234">
        <f>C26</f>
        <v>19250000</v>
      </c>
      <c r="D28" s="234">
        <f>'2c. Inputs - Liabilities'!L32</f>
        <v>14340794.442106089</v>
      </c>
      <c r="E28" s="234">
        <f>C28-D28</f>
        <v>4909205.5578939114</v>
      </c>
      <c r="F28" s="234" t="s">
        <v>130</v>
      </c>
      <c r="G28" s="234" t="s">
        <v>130</v>
      </c>
      <c r="H28" s="234" t="s">
        <v>130</v>
      </c>
      <c r="I28" s="234" t="s">
        <v>130</v>
      </c>
      <c r="J28" s="234">
        <f>E28</f>
        <v>4909205.5578939114</v>
      </c>
      <c r="K28" s="234">
        <f>'3c. Europe'!F6</f>
        <v>1608030.8309571722</v>
      </c>
      <c r="L28" s="234" t="s">
        <v>130</v>
      </c>
      <c r="M28" s="248">
        <f>'3c. Europe'!F46</f>
        <v>3.0529299957338081</v>
      </c>
      <c r="N28" s="259" t="str">
        <f>IF(M28&lt;25%, "Below Minumum Ratio, Company Loses Authorization", IF(M28&lt;45%, "Supervisory Actions Taken", "No Action Required"))</f>
        <v>No Action Required</v>
      </c>
      <c r="O28" s="9"/>
      <c r="P28" s="2"/>
    </row>
    <row r="29" spans="1:16" ht="15.75" thickBot="1">
      <c r="A29" s="262" t="s">
        <v>4</v>
      </c>
      <c r="B29" s="263" t="s">
        <v>356</v>
      </c>
      <c r="C29" s="264">
        <f>C26</f>
        <v>19250000</v>
      </c>
      <c r="D29" s="264">
        <f>'2c. Inputs - Liabilities'!L32</f>
        <v>14340794.442106089</v>
      </c>
      <c r="E29" s="264">
        <f>C29-D29</f>
        <v>4909205.5578939114</v>
      </c>
      <c r="F29" s="264" t="s">
        <v>130</v>
      </c>
      <c r="G29" s="264" t="s">
        <v>130</v>
      </c>
      <c r="H29" s="264" t="s">
        <v>130</v>
      </c>
      <c r="I29" s="264" t="s">
        <v>130</v>
      </c>
      <c r="J29" s="264">
        <f>E29</f>
        <v>4909205.5578939114</v>
      </c>
      <c r="K29" s="264">
        <f>'3d. Bermuda'!F60</f>
        <v>1438550.9769270248</v>
      </c>
      <c r="L29" s="265" t="s">
        <v>130</v>
      </c>
      <c r="M29" s="265">
        <f>'3d. Bermuda'!F61</f>
        <v>3.412604514287537</v>
      </c>
      <c r="N29" s="266" t="str">
        <f>IF(M29&lt;100%, "Below Minimum Ratio", IF(M29 &lt; 120%, "Company Must Submit Plan To Improve Ratio and Submit to Enhanced Monitoring and Additional Reporting Requirements", "No Action Required"))</f>
        <v>No Action Required</v>
      </c>
      <c r="O29" s="9"/>
      <c r="P29" s="2"/>
    </row>
    <row r="30" spans="1:16">
      <c r="A30" s="62" t="s">
        <v>392</v>
      </c>
    </row>
    <row r="31" spans="1:16">
      <c r="A31" s="62"/>
    </row>
    <row r="32" spans="1:16">
      <c r="A32" s="62"/>
    </row>
    <row r="35" spans="2:14" ht="15.75" thickBot="1">
      <c r="B35" s="360" t="s">
        <v>358</v>
      </c>
      <c r="C35" s="360"/>
      <c r="D35" s="360"/>
      <c r="E35" s="360"/>
      <c r="F35" s="360"/>
      <c r="G35" s="360"/>
      <c r="H35" s="360"/>
      <c r="I35" s="360"/>
      <c r="J35" s="360"/>
      <c r="K35" s="360"/>
      <c r="L35" s="360"/>
      <c r="M35" s="360"/>
      <c r="N35" s="360"/>
    </row>
    <row r="36" spans="2:14">
      <c r="B36" s="361" t="s">
        <v>359</v>
      </c>
      <c r="C36" s="362"/>
      <c r="D36" s="363"/>
      <c r="E36" s="364"/>
      <c r="F36" s="362"/>
      <c r="G36" s="363"/>
      <c r="H36" s="364" t="s">
        <v>360</v>
      </c>
      <c r="I36" s="362"/>
      <c r="J36" s="362"/>
      <c r="K36" s="362"/>
      <c r="L36" s="362"/>
      <c r="M36" s="362"/>
      <c r="N36" s="363"/>
    </row>
    <row r="37" spans="2:14">
      <c r="B37" s="276" t="s">
        <v>446</v>
      </c>
      <c r="C37" s="277"/>
      <c r="D37" s="277"/>
      <c r="E37" s="278"/>
      <c r="F37" s="277"/>
      <c r="G37" s="279"/>
      <c r="H37" s="277"/>
      <c r="I37" s="277"/>
      <c r="J37" s="277"/>
      <c r="K37" s="277"/>
      <c r="L37" s="277"/>
      <c r="M37" s="277"/>
      <c r="N37" s="279"/>
    </row>
    <row r="38" spans="2:14">
      <c r="B38" s="271" t="s">
        <v>397</v>
      </c>
      <c r="C38" s="144"/>
      <c r="D38" s="176"/>
      <c r="E38" s="272" t="s">
        <v>371</v>
      </c>
      <c r="F38" s="144"/>
      <c r="G38" s="273"/>
      <c r="H38" s="144" t="s">
        <v>372</v>
      </c>
      <c r="I38" s="144"/>
      <c r="J38" s="144"/>
      <c r="K38" s="144"/>
      <c r="L38" s="144"/>
      <c r="M38" s="144"/>
      <c r="N38" s="273"/>
    </row>
    <row r="39" spans="2:14">
      <c r="B39" s="280" t="s">
        <v>398</v>
      </c>
      <c r="C39" s="145"/>
      <c r="D39" s="246"/>
      <c r="E39" s="281" t="s">
        <v>369</v>
      </c>
      <c r="F39" s="145"/>
      <c r="G39" s="282"/>
      <c r="H39" s="145" t="s">
        <v>370</v>
      </c>
      <c r="I39" s="145"/>
      <c r="J39" s="145"/>
      <c r="K39" s="145"/>
      <c r="L39" s="145"/>
      <c r="M39" s="145"/>
      <c r="N39" s="282"/>
    </row>
    <row r="40" spans="2:14">
      <c r="B40" s="271" t="s">
        <v>399</v>
      </c>
      <c r="C40" s="144"/>
      <c r="D40" s="176"/>
      <c r="E40" s="272" t="s">
        <v>367</v>
      </c>
      <c r="F40" s="144"/>
      <c r="G40" s="273"/>
      <c r="H40" s="144" t="s">
        <v>368</v>
      </c>
      <c r="I40" s="144"/>
      <c r="J40" s="144"/>
      <c r="K40" s="144"/>
      <c r="L40" s="144"/>
      <c r="M40" s="144"/>
      <c r="N40" s="273"/>
    </row>
    <row r="41" spans="2:14">
      <c r="B41" s="280" t="s">
        <v>400</v>
      </c>
      <c r="C41" s="145"/>
      <c r="D41" s="246"/>
      <c r="E41" s="281" t="s">
        <v>365</v>
      </c>
      <c r="F41" s="145"/>
      <c r="G41" s="282"/>
      <c r="H41" s="145" t="s">
        <v>366</v>
      </c>
      <c r="I41" s="145"/>
      <c r="J41" s="145"/>
      <c r="K41" s="145"/>
      <c r="L41" s="145"/>
      <c r="M41" s="145"/>
      <c r="N41" s="282"/>
    </row>
    <row r="42" spans="2:14">
      <c r="B42" s="274" t="s">
        <v>401</v>
      </c>
      <c r="C42" s="247"/>
      <c r="D42" s="247"/>
      <c r="E42" s="274" t="s">
        <v>363</v>
      </c>
      <c r="F42" s="247"/>
      <c r="G42" s="275"/>
      <c r="H42" s="247" t="s">
        <v>364</v>
      </c>
      <c r="I42" s="247"/>
      <c r="J42" s="247"/>
      <c r="K42" s="247"/>
      <c r="L42" s="247"/>
      <c r="M42" s="247"/>
      <c r="N42" s="275"/>
    </row>
    <row r="43" spans="2:14">
      <c r="B43" s="283" t="s">
        <v>3</v>
      </c>
      <c r="C43" s="277"/>
      <c r="D43" s="284"/>
      <c r="E43" s="278"/>
      <c r="F43" s="277"/>
      <c r="G43" s="279"/>
      <c r="H43" s="277"/>
      <c r="I43" s="277"/>
      <c r="J43" s="277"/>
      <c r="K43" s="277"/>
      <c r="L43" s="277"/>
      <c r="M43" s="277"/>
      <c r="N43" s="279"/>
    </row>
    <row r="44" spans="2:14">
      <c r="B44" s="271" t="s">
        <v>402</v>
      </c>
      <c r="C44" s="144"/>
      <c r="D44" s="176"/>
      <c r="E44" s="272" t="s">
        <v>362</v>
      </c>
      <c r="F44" s="144"/>
      <c r="G44" s="273"/>
      <c r="H44" s="144" t="s">
        <v>390</v>
      </c>
      <c r="I44" s="144"/>
      <c r="J44" s="144"/>
      <c r="K44" s="144"/>
      <c r="L44" s="144"/>
      <c r="M44" s="144"/>
      <c r="N44" s="273"/>
    </row>
    <row r="45" spans="2:14">
      <c r="B45" s="285" t="s">
        <v>396</v>
      </c>
      <c r="C45" s="286"/>
      <c r="D45" s="286"/>
      <c r="E45" s="285" t="s">
        <v>361</v>
      </c>
      <c r="F45" s="286"/>
      <c r="G45" s="287"/>
      <c r="H45" s="286" t="s">
        <v>389</v>
      </c>
      <c r="I45" s="286"/>
      <c r="J45" s="286"/>
      <c r="K45" s="286"/>
      <c r="L45" s="286"/>
      <c r="M45" s="286"/>
      <c r="N45" s="287"/>
    </row>
    <row r="46" spans="2:14">
      <c r="B46" s="267" t="s">
        <v>0</v>
      </c>
      <c r="C46" s="268"/>
      <c r="D46" s="268"/>
      <c r="E46" s="269"/>
      <c r="F46" s="268"/>
      <c r="G46" s="270"/>
      <c r="H46" s="268"/>
      <c r="I46" s="268"/>
      <c r="J46" s="268"/>
      <c r="K46" s="268"/>
      <c r="L46" s="268"/>
      <c r="M46" s="268"/>
      <c r="N46" s="270"/>
    </row>
    <row r="47" spans="2:14">
      <c r="B47" s="280" t="s">
        <v>403</v>
      </c>
      <c r="C47" s="145"/>
      <c r="D47" s="246"/>
      <c r="E47" s="281" t="s">
        <v>362</v>
      </c>
      <c r="F47" s="145"/>
      <c r="G47" s="282"/>
      <c r="H47" s="145" t="s">
        <v>373</v>
      </c>
      <c r="I47" s="145"/>
      <c r="J47" s="145"/>
      <c r="K47" s="145"/>
      <c r="L47" s="145"/>
      <c r="M47" s="145"/>
      <c r="N47" s="282"/>
    </row>
    <row r="48" spans="2:14">
      <c r="B48" s="274" t="s">
        <v>404</v>
      </c>
      <c r="C48" s="247"/>
      <c r="D48" s="247"/>
      <c r="E48" s="274" t="s">
        <v>361</v>
      </c>
      <c r="F48" s="247"/>
      <c r="G48" s="275"/>
      <c r="H48" s="247" t="s">
        <v>388</v>
      </c>
      <c r="I48" s="247"/>
      <c r="J48" s="247"/>
      <c r="K48" s="247"/>
      <c r="L48" s="247"/>
      <c r="M48" s="247"/>
      <c r="N48" s="275"/>
    </row>
    <row r="49" spans="1:14">
      <c r="B49" s="267" t="s">
        <v>4</v>
      </c>
      <c r="C49" s="268"/>
      <c r="D49" s="268"/>
      <c r="E49" s="269"/>
      <c r="F49" s="268"/>
      <c r="G49" s="270"/>
      <c r="H49" s="268"/>
      <c r="I49" s="268"/>
      <c r="J49" s="268"/>
      <c r="K49" s="268"/>
      <c r="L49" s="268"/>
      <c r="M49" s="268"/>
      <c r="N49" s="270"/>
    </row>
    <row r="50" spans="1:14">
      <c r="B50" s="280" t="s">
        <v>395</v>
      </c>
      <c r="C50" s="145"/>
      <c r="D50" s="246"/>
      <c r="E50" s="281" t="s">
        <v>362</v>
      </c>
      <c r="F50" s="145"/>
      <c r="G50" s="282"/>
      <c r="H50" s="145" t="s">
        <v>391</v>
      </c>
      <c r="I50" s="145"/>
      <c r="J50" s="145"/>
      <c r="K50" s="145"/>
      <c r="L50" s="145"/>
      <c r="M50" s="145"/>
      <c r="N50" s="282"/>
    </row>
    <row r="51" spans="1:14">
      <c r="B51" s="274" t="s">
        <v>394</v>
      </c>
      <c r="C51" s="247"/>
      <c r="D51" s="247"/>
      <c r="E51" s="274" t="s">
        <v>361</v>
      </c>
      <c r="F51" s="247"/>
      <c r="G51" s="275"/>
      <c r="H51" s="247" t="s">
        <v>374</v>
      </c>
      <c r="I51" s="247"/>
      <c r="J51" s="247"/>
      <c r="K51" s="247"/>
      <c r="L51" s="247"/>
      <c r="M51" s="247"/>
      <c r="N51" s="275"/>
    </row>
    <row r="53" spans="1:14">
      <c r="A53" s="74"/>
    </row>
    <row r="54" spans="1:14">
      <c r="A54" s="75"/>
    </row>
    <row r="55" spans="1:14">
      <c r="A55" s="75"/>
    </row>
  </sheetData>
  <mergeCells count="13">
    <mergeCell ref="C6:E6"/>
    <mergeCell ref="F6:H6"/>
    <mergeCell ref="I6:K6"/>
    <mergeCell ref="C15:E15"/>
    <mergeCell ref="F15:H15"/>
    <mergeCell ref="I15:K15"/>
    <mergeCell ref="B35:N35"/>
    <mergeCell ref="B36:D36"/>
    <mergeCell ref="E36:G36"/>
    <mergeCell ref="H36:N36"/>
    <mergeCell ref="C24:E24"/>
    <mergeCell ref="F24:H24"/>
    <mergeCell ref="I24:K24"/>
  </mergeCells>
  <pageMargins left="0.7" right="0.7" top="0.75" bottom="0.75" header="0.3" footer="0.3"/>
  <pageSetup orientation="portrait"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5</vt:i4>
      </vt:variant>
    </vt:vector>
  </HeadingPairs>
  <TitlesOfParts>
    <vt:vector size="20" baseType="lpstr">
      <vt:lpstr>Disclaimer</vt:lpstr>
      <vt:lpstr>0. Contents</vt:lpstr>
      <vt:lpstr>1. General Guidance</vt:lpstr>
      <vt:lpstr>2a.i Inputs - US Factors</vt:lpstr>
      <vt:lpstr>2a.ii Inputs - Canada Factors</vt:lpstr>
      <vt:lpstr>2a.iii Inputs - Europe Factors</vt:lpstr>
      <vt:lpstr>2a.iv Inputs - Bermuda Factors</vt:lpstr>
      <vt:lpstr>2b. Inputs - Assets</vt:lpstr>
      <vt:lpstr>2c. Inputs - Liabilities</vt:lpstr>
      <vt:lpstr>2d. Mortality</vt:lpstr>
      <vt:lpstr>3a. US</vt:lpstr>
      <vt:lpstr>3b. Canada</vt:lpstr>
      <vt:lpstr>3c. Europe</vt:lpstr>
      <vt:lpstr>3d. Bermuda</vt:lpstr>
      <vt:lpstr>4. Results Summary</vt:lpstr>
      <vt:lpstr>Disclaimer!_Int_tPzXjVAd</vt:lpstr>
      <vt:lpstr>mortindex</vt:lpstr>
      <vt:lpstr>mortindex1</vt:lpstr>
      <vt:lpstr>rtrage</vt:lpstr>
      <vt:lpstr>sexindex1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Leiser, Ben</dc:creator>
  <cp:keywords/>
  <dc:description/>
  <cp:lastModifiedBy>Administrator</cp:lastModifiedBy>
  <cp:revision/>
  <dcterms:created xsi:type="dcterms:W3CDTF">2022-04-05T19:55:53Z</dcterms:created>
  <dcterms:modified xsi:type="dcterms:W3CDTF">2023-04-15T20:18:01Z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{42B3A537-AAE9-4696-8B9C-0C50ACEA7B53}</vt:lpwstr>
  </property>
</Properties>
</file>